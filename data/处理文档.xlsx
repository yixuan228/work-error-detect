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160" windowHeight="12450" activeTab="2"/>
  </bookViews>
  <sheets>
    <sheet name="Sheet4" sheetId="4" r:id="rId1"/>
    <sheet name="Sheet5" sheetId="5" r:id="rId2"/>
    <sheet name="Sheet1" sheetId="1" r:id="rId3"/>
    <sheet name="lookup" sheetId="7" r:id="rId4"/>
    <sheet name="Sheet2" sheetId="8" r:id="rId5"/>
  </sheets>
  <definedNames>
    <definedName name="_xlnm._FilterDatabase" localSheetId="2" hidden="1">Sheet1!$A$1:$M$116</definedName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Sheet1!#REF!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<sst xmlns="http://schemas.openxmlformats.org/spreadsheetml/2006/main" count="208" uniqueCount="171">
  <si>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</si>
  <si>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</si>
  <si>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</si>
  <si>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</si>
  <si>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</si>
  <si>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</si>
  <si>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</si>
  <si>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</si>
  <si>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</si>
  <si>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</si>
  <si>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</si>
  <si>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</si>
  <si>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</si>
  <si>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</si>
  <si>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</si>
  <si>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</si>
  <si>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</si>
  <si>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</si>
  <si>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</si>
  <si>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</si>
  <si>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</si>
  <si>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</si>
  <si>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</si>
  <si>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</si>
  <si>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每日采食总量(Kg)</t>
  </si>
  <si>
    <t>每日喂水总量(L)</t>
  </si>
  <si>
    <t>水料比</t>
  </si>
  <si>
    <t>RESIDUAL OUTPUT</t>
  </si>
  <si>
    <t>Observation</t>
  </si>
  <si>
    <t>Predicted 事故数</t>
  </si>
  <si>
    <t>Residuals</t>
  </si>
  <si>
    <t>Standard Residuals</t>
  </si>
  <si>
    <t>育肥2单元饲喂记录</t>
  </si>
  <si>
    <t>起始时间</t>
  </si>
  <si>
    <t>2025-08-25</t>
  </si>
  <si>
    <t>结束时间</t>
  </si>
  <si>
    <t>2025-12-16</t>
  </si>
  <si>
    <t>饲喂日期</t>
  </si>
  <si>
    <t>转舍前日龄</t>
  </si>
  <si>
    <t>转舍日龄</t>
  </si>
  <si>
    <t>总日龄</t>
  </si>
  <si>
    <t>存栏数</t>
  </si>
  <si>
    <t>均采食量/kg</t>
  </si>
  <si>
    <t>均喂水量/L</t>
  </si>
  <si>
    <t>应采食量/kg</t>
  </si>
  <si>
    <t>事故数</t>
  </si>
  <si>
    <t>事故类型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</si>
  <si>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</si>
  <si>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</si>
  <si>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</si>
  <si>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</si>
  <si>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</si>
  <si>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</si>
  <si>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</si>
  <si>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</si>
  <si>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</si>
  <si>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</si>
  <si>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</si>
  <si>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</si>
  <si>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</si>
  <si>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</si>
  <si>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</si>
  <si>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</si>
  <si>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</si>
  <si>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</si>
  <si>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</si>
  <si>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</si>
  <si>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</si>
  <si>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</si>
  <si>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</si>
  <si>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</si>
  <si>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</si>
  <si>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</si>
  <si>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</si>
  <si>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</si>
  <si>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</si>
  <si>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</si>
  <si>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</si>
  <si>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</si>
  <si>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</si>
  <si>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</si>
  <si>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</si>
  <si>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</si>
  <si>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</si>
  <si>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</si>
  <si>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</si>
  <si>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</si>
  <si>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</si>
  <si>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</si>
  <si>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</si>
  <si>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</si>
  <si>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</si>
  <si>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</si>
  <si>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</si>
  <si>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</si>
  <si>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</si>
  <si>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</si>
  <si>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</si>
  <si>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</si>
  <si>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</si>
  <si>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</si>
  <si>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</si>
  <si>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</si>
  <si>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</si>
  <si>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</si>
  <si>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</si>
  <si>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</si>
  <si>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</si>
  <si>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</si>
  <si>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</si>
  <si>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</si>
  <si>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</si>
  <si>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</si>
  <si>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</si>
  <si>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</si>
  <si>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</si>
  <si>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</si>
  <si>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</si>
  <si>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</si>
  <si>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</si>
  <si>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</si>
  <si>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</si>
  <si>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</si>
  <si>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</si>
  <si>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</si>
  <si>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</si>
  <si>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</si>
  <si>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</si>
  <si>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</si>
  <si>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</si>
  <si>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</si>
  <si>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</si>
  <si>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</si>
  <si>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</si>
  <si>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</si>
  <si>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</si>
  <si>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</si>
  <si>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</si>
  <si>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</si>
  <si>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</si>
  <si>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</si>
  <si>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</si>
  <si>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</si>
  <si>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</si>
  <si>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</si>
  <si>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</si>
  <si>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</si>
  <si>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</si>
  <si>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</si>
  <si>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</si>
  <si>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</si>
  <si>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</si>
  <si>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</si>
  <si>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</si>
  <si>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</si>
  <si>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</si>
  <si>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</si>
  <si>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</si>
  <si>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</si>
  <si>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Lookup Table：每一行代表“≥该值时，对应的输出”</t>
  </si>
  <si>
    <t>以阜新数据为例</t>
  </si>
  <si>
    <t>日龄下界</t>
  </si>
  <si>
    <t>采食量/kg</t>
  </si>
  <si>
    <t>发白</t>
  </si>
  <si>
    <t>呼吸道疾病</t>
  </si>
  <si>
    <t xml:space="preserve">1 - </t>
  </si>
  <si>
    <t xml:space="preserve">2 - </t>
  </si>
  <si>
    <t>3 - 发白</t>
  </si>
  <si>
    <t>4 - 应激</t>
  </si>
  <si>
    <t>5 - 胀气</t>
  </si>
  <si>
    <t>9 - 猝死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</si>
</sst>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8" borderId="16" applyNumberFormat="0" applyAlignment="0" applyProtection="0">
      <alignment vertical="center"/>
    </xf>
    <xf numFmtId="0" fontId="16" fillId="8" borderId="15" applyNumberFormat="0" applyAlignment="0" applyProtection="0">
      <alignment vertical="center"/>
    </xf>
    <xf numFmtId="0" fontId="17" fillId="9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4" fontId="4" fillId="2" borderId="6" xfId="0" applyNumberFormat="1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14" fontId="2" fillId="4" borderId="9" xfId="0" applyNumberFormat="1" applyFont="1" applyFill="1" applyBorder="1" applyAlignment="1">
      <alignment horizontal="center" vertical="center"/>
    </xf>
    <xf numFmtId="14" fontId="2" fillId="5" borderId="9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0" xfId="0" applyFont="1" applyFill="1" applyBorder="1" applyAlignment="1">
      <alignment horizontal="centerContinuous" vertical="center"/>
    </xf>
    <xf numFmtId="0" fontId="0" fillId="0" borderId="0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每日采食总量</a:t>
            </a:r>
            <a:r>
              <a:rPr lang="en-US" altLang="zh-CN"/>
              <a:t>(Kg)  Residual Plot</a:t>
            </a:r>
            <a:endParaRPr lang="en-US" altLang="zh-CN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38100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Sheet1!$B$5:$B$117</c:f>
              <c:numCache>
                <c:formatCode>General</c:formatCode>
                <c:ptCount val="0"/>
              </c:numCache>
            </c:numRef>
          </c:xVal>
          <c:yVal>
            <c:numRef>
              <c:f>Sheet4!$C$27:$C$137</c:f>
              <c:numCache>
                <c:formatCode>General</c:formatCode>
                <c:ptCount val="111"/>
                <c:pt idx="0">
                  <c:v>3.82125017156954</c:v>
                </c:pt>
                <c:pt idx="1">
                  <c:v>-0.200892234601891</c:v>
                </c:pt>
                <c:pt idx="2">
                  <c:v>-0.212226709002419</c:v>
                </c:pt>
                <c:pt idx="3">
                  <c:v>-0.188916706822774</c:v>
                </c:pt>
                <c:pt idx="4">
                  <c:v>-0.199067175040216</c:v>
                </c:pt>
                <c:pt idx="5">
                  <c:v>-0.181805216995474</c:v>
                </c:pt>
                <c:pt idx="6">
                  <c:v>-0.18573751804006</c:v>
                </c:pt>
                <c:pt idx="7">
                  <c:v>-0.199833245755758</c:v>
                </c:pt>
                <c:pt idx="8">
                  <c:v>-0.185444510417469</c:v>
                </c:pt>
                <c:pt idx="9">
                  <c:v>-0.191899748103205</c:v>
                </c:pt>
                <c:pt idx="10">
                  <c:v>-0.190825845765594</c:v>
                </c:pt>
                <c:pt idx="11">
                  <c:v>-0.185850570109558</c:v>
                </c:pt>
                <c:pt idx="12">
                  <c:v>-0.190135165661152</c:v>
                </c:pt>
                <c:pt idx="13">
                  <c:v>-0.201527086166311</c:v>
                </c:pt>
                <c:pt idx="14">
                  <c:v>-0.183098671412119</c:v>
                </c:pt>
                <c:pt idx="15">
                  <c:v>-0.1746542717107</c:v>
                </c:pt>
                <c:pt idx="16">
                  <c:v>-0.188785455743524</c:v>
                </c:pt>
                <c:pt idx="17">
                  <c:v>0.803184116547324</c:v>
                </c:pt>
                <c:pt idx="18">
                  <c:v>-0.181319234741293</c:v>
                </c:pt>
                <c:pt idx="19">
                  <c:v>-0.205936316678731</c:v>
                </c:pt>
                <c:pt idx="20">
                  <c:v>-0.164155445480609</c:v>
                </c:pt>
                <c:pt idx="21">
                  <c:v>-0.153005294678211</c:v>
                </c:pt>
                <c:pt idx="22">
                  <c:v>-0.165911471347433</c:v>
                </c:pt>
                <c:pt idx="23">
                  <c:v>-0.158913417028808</c:v>
                </c:pt>
                <c:pt idx="24">
                  <c:v>-0.156467698904846</c:v>
                </c:pt>
                <c:pt idx="25">
                  <c:v>-0.172402098769794</c:v>
                </c:pt>
                <c:pt idx="26">
                  <c:v>0.810966117850502</c:v>
                </c:pt>
                <c:pt idx="27">
                  <c:v>-0.157420088045404</c:v>
                </c:pt>
                <c:pt idx="28">
                  <c:v>-0.181822865897809</c:v>
                </c:pt>
                <c:pt idx="29">
                  <c:v>-0.176918356616266</c:v>
                </c:pt>
                <c:pt idx="30">
                  <c:v>-0.145512988513217</c:v>
                </c:pt>
                <c:pt idx="31">
                  <c:v>-0.169354109315153</c:v>
                </c:pt>
                <c:pt idx="32">
                  <c:v>0.837616613504856</c:v>
                </c:pt>
                <c:pt idx="33">
                  <c:v>-0.16440429479291</c:v>
                </c:pt>
                <c:pt idx="34">
                  <c:v>-0.147276129530292</c:v>
                </c:pt>
                <c:pt idx="35">
                  <c:v>-0.151852646344307</c:v>
                </c:pt>
                <c:pt idx="36">
                  <c:v>-0.157638321229154</c:v>
                </c:pt>
                <c:pt idx="37">
                  <c:v>-0.167472685411228</c:v>
                </c:pt>
                <c:pt idx="38">
                  <c:v>-0.165841616182921</c:v>
                </c:pt>
                <c:pt idx="39">
                  <c:v>-0.163277667784534</c:v>
                </c:pt>
                <c:pt idx="40">
                  <c:v>-0.159087472060198</c:v>
                </c:pt>
                <c:pt idx="41">
                  <c:v>-0.164876650518532</c:v>
                </c:pt>
                <c:pt idx="42">
                  <c:v>-0.162742562849074</c:v>
                </c:pt>
                <c:pt idx="43">
                  <c:v>-0.155691282585468</c:v>
                </c:pt>
                <c:pt idx="44">
                  <c:v>-0.155443487724229</c:v>
                </c:pt>
                <c:pt idx="45">
                  <c:v>-0.142882735110781</c:v>
                </c:pt>
                <c:pt idx="46">
                  <c:v>-0.141511760147595</c:v>
                </c:pt>
                <c:pt idx="47">
                  <c:v>0.855661126904724</c:v>
                </c:pt>
                <c:pt idx="48">
                  <c:v>-0.150517084917585</c:v>
                </c:pt>
                <c:pt idx="49">
                  <c:v>-0.140552750810721</c:v>
                </c:pt>
                <c:pt idx="50">
                  <c:v>0.855921496485621</c:v>
                </c:pt>
                <c:pt idx="51">
                  <c:v>-0.133331402348788</c:v>
                </c:pt>
                <c:pt idx="52">
                  <c:v>-0.132551834583734</c:v>
                </c:pt>
                <c:pt idx="53">
                  <c:v>-0.136721746118185</c:v>
                </c:pt>
                <c:pt idx="54">
                  <c:v>-0.140712938572304</c:v>
                </c:pt>
                <c:pt idx="55">
                  <c:v>0.85359476174433</c:v>
                </c:pt>
                <c:pt idx="56">
                  <c:v>-0.13989708958259</c:v>
                </c:pt>
                <c:pt idx="57">
                  <c:v>-0.124071169747998</c:v>
                </c:pt>
                <c:pt idx="58">
                  <c:v>0.875560466224395</c:v>
                </c:pt>
                <c:pt idx="59">
                  <c:v>-0.114019317932375</c:v>
                </c:pt>
                <c:pt idx="60">
                  <c:v>0.860572992419117</c:v>
                </c:pt>
                <c:pt idx="61">
                  <c:v>-0.138566873424974</c:v>
                </c:pt>
                <c:pt idx="62">
                  <c:v>-0.139263681965186</c:v>
                </c:pt>
                <c:pt idx="63">
                  <c:v>-0.135039337943216</c:v>
                </c:pt>
                <c:pt idx="64">
                  <c:v>-0.133111135390898</c:v>
                </c:pt>
                <c:pt idx="65">
                  <c:v>-0.124145787497576</c:v>
                </c:pt>
                <c:pt idx="66">
                  <c:v>-0.126467270733385</c:v>
                </c:pt>
                <c:pt idx="67">
                  <c:v>-0.124317600585963</c:v>
                </c:pt>
                <c:pt idx="68">
                  <c:v>0.870542922767869</c:v>
                </c:pt>
                <c:pt idx="69">
                  <c:v>-0.131338484750878</c:v>
                </c:pt>
                <c:pt idx="70">
                  <c:v>-0.127181542596239</c:v>
                </c:pt>
                <c:pt idx="71">
                  <c:v>-0.124175311535345</c:v>
                </c:pt>
                <c:pt idx="72">
                  <c:v>-0.127225313486326</c:v>
                </c:pt>
                <c:pt idx="73">
                  <c:v>-0.136900211067513</c:v>
                </c:pt>
                <c:pt idx="74">
                  <c:v>-0.18956369523197</c:v>
                </c:pt>
                <c:pt idx="75">
                  <c:v>-0.15143458653866</c:v>
                </c:pt>
                <c:pt idx="76">
                  <c:v>-0.15143458653866</c:v>
                </c:pt>
                <c:pt idx="77">
                  <c:v>-0.151456667792813</c:v>
                </c:pt>
                <c:pt idx="78">
                  <c:v>-0.147647487453066</c:v>
                </c:pt>
                <c:pt idx="79">
                  <c:v>-0.134590798848139</c:v>
                </c:pt>
                <c:pt idx="80">
                  <c:v>-0.144916329491511</c:v>
                </c:pt>
                <c:pt idx="81">
                  <c:v>-0.137553299972176</c:v>
                </c:pt>
                <c:pt idx="82">
                  <c:v>-0.12956093036046</c:v>
                </c:pt>
                <c:pt idx="83">
                  <c:v>-0.125798858281356</c:v>
                </c:pt>
                <c:pt idx="84">
                  <c:v>-0.117535253152021</c:v>
                </c:pt>
                <c:pt idx="85">
                  <c:v>-0.118672439861678</c:v>
                </c:pt>
                <c:pt idx="86">
                  <c:v>0.881909501530129</c:v>
                </c:pt>
                <c:pt idx="87">
                  <c:v>0.882146320057526</c:v>
                </c:pt>
                <c:pt idx="88">
                  <c:v>-0.11741516932098</c:v>
                </c:pt>
                <c:pt idx="89">
                  <c:v>-0.116044725267399</c:v>
                </c:pt>
                <c:pt idx="90">
                  <c:v>-0.117216826361569</c:v>
                </c:pt>
                <c:pt idx="91">
                  <c:v>-0.120005640967204</c:v>
                </c:pt>
                <c:pt idx="92">
                  <c:v>-0.111424879353581</c:v>
                </c:pt>
                <c:pt idx="93">
                  <c:v>-0.111274712627663</c:v>
                </c:pt>
                <c:pt idx="94">
                  <c:v>-0.107192654839439</c:v>
                </c:pt>
                <c:pt idx="95">
                  <c:v>-0.105883224770757</c:v>
                </c:pt>
                <c:pt idx="96">
                  <c:v>-0.0971447122804642</c:v>
                </c:pt>
                <c:pt idx="97">
                  <c:v>-0.0904990909687595</c:v>
                </c:pt>
                <c:pt idx="98">
                  <c:v>-0.0874253212750236</c:v>
                </c:pt>
                <c:pt idx="99">
                  <c:v>-0.0786832872740483</c:v>
                </c:pt>
                <c:pt idx="100">
                  <c:v>-0.0706474738391978</c:v>
                </c:pt>
                <c:pt idx="101">
                  <c:v>-0.0718005403691875</c:v>
                </c:pt>
                <c:pt idx="102">
                  <c:v>-0.0653015819306667</c:v>
                </c:pt>
                <c:pt idx="103">
                  <c:v>-0.0704560788841785</c:v>
                </c:pt>
                <c:pt idx="104">
                  <c:v>-0.0680516315605054</c:v>
                </c:pt>
                <c:pt idx="105">
                  <c:v>-0.0885900546241216</c:v>
                </c:pt>
                <c:pt idx="106">
                  <c:v>-0.0951333984059289</c:v>
                </c:pt>
                <c:pt idx="107">
                  <c:v>-0.103520149463517</c:v>
                </c:pt>
                <c:pt idx="108">
                  <c:v>0.891964727747919</c:v>
                </c:pt>
                <c:pt idx="109">
                  <c:v>-0.0915164326516797</c:v>
                </c:pt>
                <c:pt idx="110">
                  <c:v>-0.185552099566666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994991"/>
        <c:axId val="1073992111"/>
      </c:scatterChart>
      <c:valAx>
        <c:axId val="107399499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每日采食总量</a:t>
                </a:r>
                <a:r>
                  <a:rPr lang="en-US" altLang="zh-CN"/>
                  <a:t>(Kg)</a:t>
                </a:r>
                <a:endParaRPr lang="en-US" altLang="zh-CN"/>
              </a:p>
            </c:rich>
          </c:tx>
          <c:layout/>
          <c:overlay val="0"/>
        </c:title>
        <c:numFmt formatCode="0.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73992111"/>
        <c:crosses val="autoZero"/>
        <c:crossBetween val="midCat"/>
      </c:valAx>
      <c:valAx>
        <c:axId val="107399211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Residuals</a:t>
                </a:r>
                <a:endParaRPr lang="en-US" altLang="zh-C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73994991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872ae47b-672f-4aa2-b105-fd2ac0e63f7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每日喂水总量</a:t>
            </a:r>
            <a:r>
              <a:rPr lang="en-US" altLang="zh-CN"/>
              <a:t>(L)  Residual Plot</a:t>
            </a:r>
            <a:endParaRPr lang="en-US" altLang="zh-CN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38100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Sheet1!$C$5:$C$117</c:f>
              <c:numCache>
                <c:formatCode>General</c:formatCode>
                <c:ptCount val="0"/>
              </c:numCache>
            </c:numRef>
          </c:xVal>
          <c:yVal>
            <c:numRef>
              <c:f>Sheet4!$C$27:$C$137</c:f>
              <c:numCache>
                <c:formatCode>General</c:formatCode>
                <c:ptCount val="111"/>
                <c:pt idx="0">
                  <c:v>3.82125017156954</c:v>
                </c:pt>
                <c:pt idx="1">
                  <c:v>-0.200892234601891</c:v>
                </c:pt>
                <c:pt idx="2">
                  <c:v>-0.212226709002419</c:v>
                </c:pt>
                <c:pt idx="3">
                  <c:v>-0.188916706822774</c:v>
                </c:pt>
                <c:pt idx="4">
                  <c:v>-0.199067175040216</c:v>
                </c:pt>
                <c:pt idx="5">
                  <c:v>-0.181805216995474</c:v>
                </c:pt>
                <c:pt idx="6">
                  <c:v>-0.18573751804006</c:v>
                </c:pt>
                <c:pt idx="7">
                  <c:v>-0.199833245755758</c:v>
                </c:pt>
                <c:pt idx="8">
                  <c:v>-0.185444510417469</c:v>
                </c:pt>
                <c:pt idx="9">
                  <c:v>-0.191899748103205</c:v>
                </c:pt>
                <c:pt idx="10">
                  <c:v>-0.190825845765594</c:v>
                </c:pt>
                <c:pt idx="11">
                  <c:v>-0.185850570109558</c:v>
                </c:pt>
                <c:pt idx="12">
                  <c:v>-0.190135165661152</c:v>
                </c:pt>
                <c:pt idx="13">
                  <c:v>-0.201527086166311</c:v>
                </c:pt>
                <c:pt idx="14">
                  <c:v>-0.183098671412119</c:v>
                </c:pt>
                <c:pt idx="15">
                  <c:v>-0.1746542717107</c:v>
                </c:pt>
                <c:pt idx="16">
                  <c:v>-0.188785455743524</c:v>
                </c:pt>
                <c:pt idx="17">
                  <c:v>0.803184116547324</c:v>
                </c:pt>
                <c:pt idx="18">
                  <c:v>-0.181319234741293</c:v>
                </c:pt>
                <c:pt idx="19">
                  <c:v>-0.205936316678731</c:v>
                </c:pt>
                <c:pt idx="20">
                  <c:v>-0.164155445480609</c:v>
                </c:pt>
                <c:pt idx="21">
                  <c:v>-0.153005294678211</c:v>
                </c:pt>
                <c:pt idx="22">
                  <c:v>-0.165911471347433</c:v>
                </c:pt>
                <c:pt idx="23">
                  <c:v>-0.158913417028808</c:v>
                </c:pt>
                <c:pt idx="24">
                  <c:v>-0.156467698904846</c:v>
                </c:pt>
                <c:pt idx="25">
                  <c:v>-0.172402098769794</c:v>
                </c:pt>
                <c:pt idx="26">
                  <c:v>0.810966117850502</c:v>
                </c:pt>
                <c:pt idx="27">
                  <c:v>-0.157420088045404</c:v>
                </c:pt>
                <c:pt idx="28">
                  <c:v>-0.181822865897809</c:v>
                </c:pt>
                <c:pt idx="29">
                  <c:v>-0.176918356616266</c:v>
                </c:pt>
                <c:pt idx="30">
                  <c:v>-0.145512988513217</c:v>
                </c:pt>
                <c:pt idx="31">
                  <c:v>-0.169354109315153</c:v>
                </c:pt>
                <c:pt idx="32">
                  <c:v>0.837616613504856</c:v>
                </c:pt>
                <c:pt idx="33">
                  <c:v>-0.16440429479291</c:v>
                </c:pt>
                <c:pt idx="34">
                  <c:v>-0.147276129530292</c:v>
                </c:pt>
                <c:pt idx="35">
                  <c:v>-0.151852646344307</c:v>
                </c:pt>
                <c:pt idx="36">
                  <c:v>-0.157638321229154</c:v>
                </c:pt>
                <c:pt idx="37">
                  <c:v>-0.167472685411228</c:v>
                </c:pt>
                <c:pt idx="38">
                  <c:v>-0.165841616182921</c:v>
                </c:pt>
                <c:pt idx="39">
                  <c:v>-0.163277667784534</c:v>
                </c:pt>
                <c:pt idx="40">
                  <c:v>-0.159087472060198</c:v>
                </c:pt>
                <c:pt idx="41">
                  <c:v>-0.164876650518532</c:v>
                </c:pt>
                <c:pt idx="42">
                  <c:v>-0.162742562849074</c:v>
                </c:pt>
                <c:pt idx="43">
                  <c:v>-0.155691282585468</c:v>
                </c:pt>
                <c:pt idx="44">
                  <c:v>-0.155443487724229</c:v>
                </c:pt>
                <c:pt idx="45">
                  <c:v>-0.142882735110781</c:v>
                </c:pt>
                <c:pt idx="46">
                  <c:v>-0.141511760147595</c:v>
                </c:pt>
                <c:pt idx="47">
                  <c:v>0.855661126904724</c:v>
                </c:pt>
                <c:pt idx="48">
                  <c:v>-0.150517084917585</c:v>
                </c:pt>
                <c:pt idx="49">
                  <c:v>-0.140552750810721</c:v>
                </c:pt>
                <c:pt idx="50">
                  <c:v>0.855921496485621</c:v>
                </c:pt>
                <c:pt idx="51">
                  <c:v>-0.133331402348788</c:v>
                </c:pt>
                <c:pt idx="52">
                  <c:v>-0.132551834583734</c:v>
                </c:pt>
                <c:pt idx="53">
                  <c:v>-0.136721746118185</c:v>
                </c:pt>
                <c:pt idx="54">
                  <c:v>-0.140712938572304</c:v>
                </c:pt>
                <c:pt idx="55">
                  <c:v>0.85359476174433</c:v>
                </c:pt>
                <c:pt idx="56">
                  <c:v>-0.13989708958259</c:v>
                </c:pt>
                <c:pt idx="57">
                  <c:v>-0.124071169747998</c:v>
                </c:pt>
                <c:pt idx="58">
                  <c:v>0.875560466224395</c:v>
                </c:pt>
                <c:pt idx="59">
                  <c:v>-0.114019317932375</c:v>
                </c:pt>
                <c:pt idx="60">
                  <c:v>0.860572992419117</c:v>
                </c:pt>
                <c:pt idx="61">
                  <c:v>-0.138566873424974</c:v>
                </c:pt>
                <c:pt idx="62">
                  <c:v>-0.139263681965186</c:v>
                </c:pt>
                <c:pt idx="63">
                  <c:v>-0.135039337943216</c:v>
                </c:pt>
                <c:pt idx="64">
                  <c:v>-0.133111135390898</c:v>
                </c:pt>
                <c:pt idx="65">
                  <c:v>-0.124145787497576</c:v>
                </c:pt>
                <c:pt idx="66">
                  <c:v>-0.126467270733385</c:v>
                </c:pt>
                <c:pt idx="67">
                  <c:v>-0.124317600585963</c:v>
                </c:pt>
                <c:pt idx="68">
                  <c:v>0.870542922767869</c:v>
                </c:pt>
                <c:pt idx="69">
                  <c:v>-0.131338484750878</c:v>
                </c:pt>
                <c:pt idx="70">
                  <c:v>-0.127181542596239</c:v>
                </c:pt>
                <c:pt idx="71">
                  <c:v>-0.124175311535345</c:v>
                </c:pt>
                <c:pt idx="72">
                  <c:v>-0.127225313486326</c:v>
                </c:pt>
                <c:pt idx="73">
                  <c:v>-0.136900211067513</c:v>
                </c:pt>
                <c:pt idx="74">
                  <c:v>-0.18956369523197</c:v>
                </c:pt>
                <c:pt idx="75">
                  <c:v>-0.15143458653866</c:v>
                </c:pt>
                <c:pt idx="76">
                  <c:v>-0.15143458653866</c:v>
                </c:pt>
                <c:pt idx="77">
                  <c:v>-0.151456667792813</c:v>
                </c:pt>
                <c:pt idx="78">
                  <c:v>-0.147647487453066</c:v>
                </c:pt>
                <c:pt idx="79">
                  <c:v>-0.134590798848139</c:v>
                </c:pt>
                <c:pt idx="80">
                  <c:v>-0.144916329491511</c:v>
                </c:pt>
                <c:pt idx="81">
                  <c:v>-0.137553299972176</c:v>
                </c:pt>
                <c:pt idx="82">
                  <c:v>-0.12956093036046</c:v>
                </c:pt>
                <c:pt idx="83">
                  <c:v>-0.125798858281356</c:v>
                </c:pt>
                <c:pt idx="84">
                  <c:v>-0.117535253152021</c:v>
                </c:pt>
                <c:pt idx="85">
                  <c:v>-0.118672439861678</c:v>
                </c:pt>
                <c:pt idx="86">
                  <c:v>0.881909501530129</c:v>
                </c:pt>
                <c:pt idx="87">
                  <c:v>0.882146320057526</c:v>
                </c:pt>
                <c:pt idx="88">
                  <c:v>-0.11741516932098</c:v>
                </c:pt>
                <c:pt idx="89">
                  <c:v>-0.116044725267399</c:v>
                </c:pt>
                <c:pt idx="90">
                  <c:v>-0.117216826361569</c:v>
                </c:pt>
                <c:pt idx="91">
                  <c:v>-0.120005640967204</c:v>
                </c:pt>
                <c:pt idx="92">
                  <c:v>-0.111424879353581</c:v>
                </c:pt>
                <c:pt idx="93">
                  <c:v>-0.111274712627663</c:v>
                </c:pt>
                <c:pt idx="94">
                  <c:v>-0.107192654839439</c:v>
                </c:pt>
                <c:pt idx="95">
                  <c:v>-0.105883224770757</c:v>
                </c:pt>
                <c:pt idx="96">
                  <c:v>-0.0971447122804642</c:v>
                </c:pt>
                <c:pt idx="97">
                  <c:v>-0.0904990909687595</c:v>
                </c:pt>
                <c:pt idx="98">
                  <c:v>-0.0874253212750236</c:v>
                </c:pt>
                <c:pt idx="99">
                  <c:v>-0.0786832872740483</c:v>
                </c:pt>
                <c:pt idx="100">
                  <c:v>-0.0706474738391978</c:v>
                </c:pt>
                <c:pt idx="101">
                  <c:v>-0.0718005403691875</c:v>
                </c:pt>
                <c:pt idx="102">
                  <c:v>-0.0653015819306667</c:v>
                </c:pt>
                <c:pt idx="103">
                  <c:v>-0.0704560788841785</c:v>
                </c:pt>
                <c:pt idx="104">
                  <c:v>-0.0680516315605054</c:v>
                </c:pt>
                <c:pt idx="105">
                  <c:v>-0.0885900546241216</c:v>
                </c:pt>
                <c:pt idx="106">
                  <c:v>-0.0951333984059289</c:v>
                </c:pt>
                <c:pt idx="107">
                  <c:v>-0.103520149463517</c:v>
                </c:pt>
                <c:pt idx="108">
                  <c:v>0.891964727747919</c:v>
                </c:pt>
                <c:pt idx="109">
                  <c:v>-0.0915164326516797</c:v>
                </c:pt>
                <c:pt idx="110">
                  <c:v>-0.185552099566666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555423"/>
        <c:axId val="1307557823"/>
      </c:scatterChart>
      <c:valAx>
        <c:axId val="130755542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每日喂水总量</a:t>
                </a:r>
                <a:r>
                  <a:rPr lang="en-US" altLang="zh-CN"/>
                  <a:t>(L)</a:t>
                </a:r>
                <a:endParaRPr lang="en-US" altLang="zh-CN"/>
              </a:p>
            </c:rich>
          </c:tx>
          <c:layout/>
          <c:overlay val="0"/>
        </c:title>
        <c:numFmt formatCode="0.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07557823"/>
        <c:crosses val="autoZero"/>
        <c:crossBetween val="midCat"/>
      </c:valAx>
      <c:valAx>
        <c:axId val="130755782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Residuals</a:t>
                </a:r>
                <a:endParaRPr lang="en-US" altLang="zh-C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07555423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0e8f843f-e629-450a-8545-06f1723c685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水料比  </a:t>
            </a:r>
            <a:r>
              <a:rPr lang="en-US" altLang="zh-CN"/>
              <a:t>Residual Plot</a:t>
            </a:r>
            <a:endParaRPr lang="en-US" altLang="zh-CN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38100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Sheet1!$D$5:$D$117</c:f>
              <c:numCache>
                <c:formatCode>General</c:formatCode>
                <c:ptCount val="0"/>
              </c:numCache>
            </c:numRef>
          </c:xVal>
          <c:yVal>
            <c:numRef>
              <c:f>Sheet4!$C$27:$C$137</c:f>
              <c:numCache>
                <c:formatCode>General</c:formatCode>
                <c:ptCount val="111"/>
                <c:pt idx="0">
                  <c:v>3.82125017156954</c:v>
                </c:pt>
                <c:pt idx="1">
                  <c:v>-0.200892234601891</c:v>
                </c:pt>
                <c:pt idx="2">
                  <c:v>-0.212226709002419</c:v>
                </c:pt>
                <c:pt idx="3">
                  <c:v>-0.188916706822774</c:v>
                </c:pt>
                <c:pt idx="4">
                  <c:v>-0.199067175040216</c:v>
                </c:pt>
                <c:pt idx="5">
                  <c:v>-0.181805216995474</c:v>
                </c:pt>
                <c:pt idx="6">
                  <c:v>-0.18573751804006</c:v>
                </c:pt>
                <c:pt idx="7">
                  <c:v>-0.199833245755758</c:v>
                </c:pt>
                <c:pt idx="8">
                  <c:v>-0.185444510417469</c:v>
                </c:pt>
                <c:pt idx="9">
                  <c:v>-0.191899748103205</c:v>
                </c:pt>
                <c:pt idx="10">
                  <c:v>-0.190825845765594</c:v>
                </c:pt>
                <c:pt idx="11">
                  <c:v>-0.185850570109558</c:v>
                </c:pt>
                <c:pt idx="12">
                  <c:v>-0.190135165661152</c:v>
                </c:pt>
                <c:pt idx="13">
                  <c:v>-0.201527086166311</c:v>
                </c:pt>
                <c:pt idx="14">
                  <c:v>-0.183098671412119</c:v>
                </c:pt>
                <c:pt idx="15">
                  <c:v>-0.1746542717107</c:v>
                </c:pt>
                <c:pt idx="16">
                  <c:v>-0.188785455743524</c:v>
                </c:pt>
                <c:pt idx="17">
                  <c:v>0.803184116547324</c:v>
                </c:pt>
                <c:pt idx="18">
                  <c:v>-0.181319234741293</c:v>
                </c:pt>
                <c:pt idx="19">
                  <c:v>-0.205936316678731</c:v>
                </c:pt>
                <c:pt idx="20">
                  <c:v>-0.164155445480609</c:v>
                </c:pt>
                <c:pt idx="21">
                  <c:v>-0.153005294678211</c:v>
                </c:pt>
                <c:pt idx="22">
                  <c:v>-0.165911471347433</c:v>
                </c:pt>
                <c:pt idx="23">
                  <c:v>-0.158913417028808</c:v>
                </c:pt>
                <c:pt idx="24">
                  <c:v>-0.156467698904846</c:v>
                </c:pt>
                <c:pt idx="25">
                  <c:v>-0.172402098769794</c:v>
                </c:pt>
                <c:pt idx="26">
                  <c:v>0.810966117850502</c:v>
                </c:pt>
                <c:pt idx="27">
                  <c:v>-0.157420088045404</c:v>
                </c:pt>
                <c:pt idx="28">
                  <c:v>-0.181822865897809</c:v>
                </c:pt>
                <c:pt idx="29">
                  <c:v>-0.176918356616266</c:v>
                </c:pt>
                <c:pt idx="30">
                  <c:v>-0.145512988513217</c:v>
                </c:pt>
                <c:pt idx="31">
                  <c:v>-0.169354109315153</c:v>
                </c:pt>
                <c:pt idx="32">
                  <c:v>0.837616613504856</c:v>
                </c:pt>
                <c:pt idx="33">
                  <c:v>-0.16440429479291</c:v>
                </c:pt>
                <c:pt idx="34">
                  <c:v>-0.147276129530292</c:v>
                </c:pt>
                <c:pt idx="35">
                  <c:v>-0.151852646344307</c:v>
                </c:pt>
                <c:pt idx="36">
                  <c:v>-0.157638321229154</c:v>
                </c:pt>
                <c:pt idx="37">
                  <c:v>-0.167472685411228</c:v>
                </c:pt>
                <c:pt idx="38">
                  <c:v>-0.165841616182921</c:v>
                </c:pt>
                <c:pt idx="39">
                  <c:v>-0.163277667784534</c:v>
                </c:pt>
                <c:pt idx="40">
                  <c:v>-0.159087472060198</c:v>
                </c:pt>
                <c:pt idx="41">
                  <c:v>-0.164876650518532</c:v>
                </c:pt>
                <c:pt idx="42">
                  <c:v>-0.162742562849074</c:v>
                </c:pt>
                <c:pt idx="43">
                  <c:v>-0.155691282585468</c:v>
                </c:pt>
                <c:pt idx="44">
                  <c:v>-0.155443487724229</c:v>
                </c:pt>
                <c:pt idx="45">
                  <c:v>-0.142882735110781</c:v>
                </c:pt>
                <c:pt idx="46">
                  <c:v>-0.141511760147595</c:v>
                </c:pt>
                <c:pt idx="47">
                  <c:v>0.855661126904724</c:v>
                </c:pt>
                <c:pt idx="48">
                  <c:v>-0.150517084917585</c:v>
                </c:pt>
                <c:pt idx="49">
                  <c:v>-0.140552750810721</c:v>
                </c:pt>
                <c:pt idx="50">
                  <c:v>0.855921496485621</c:v>
                </c:pt>
                <c:pt idx="51">
                  <c:v>-0.133331402348788</c:v>
                </c:pt>
                <c:pt idx="52">
                  <c:v>-0.132551834583734</c:v>
                </c:pt>
                <c:pt idx="53">
                  <c:v>-0.136721746118185</c:v>
                </c:pt>
                <c:pt idx="54">
                  <c:v>-0.140712938572304</c:v>
                </c:pt>
                <c:pt idx="55">
                  <c:v>0.85359476174433</c:v>
                </c:pt>
                <c:pt idx="56">
                  <c:v>-0.13989708958259</c:v>
                </c:pt>
                <c:pt idx="57">
                  <c:v>-0.124071169747998</c:v>
                </c:pt>
                <c:pt idx="58">
                  <c:v>0.875560466224395</c:v>
                </c:pt>
                <c:pt idx="59">
                  <c:v>-0.114019317932375</c:v>
                </c:pt>
                <c:pt idx="60">
                  <c:v>0.860572992419117</c:v>
                </c:pt>
                <c:pt idx="61">
                  <c:v>-0.138566873424974</c:v>
                </c:pt>
                <c:pt idx="62">
                  <c:v>-0.139263681965186</c:v>
                </c:pt>
                <c:pt idx="63">
                  <c:v>-0.135039337943216</c:v>
                </c:pt>
                <c:pt idx="64">
                  <c:v>-0.133111135390898</c:v>
                </c:pt>
                <c:pt idx="65">
                  <c:v>-0.124145787497576</c:v>
                </c:pt>
                <c:pt idx="66">
                  <c:v>-0.126467270733385</c:v>
                </c:pt>
                <c:pt idx="67">
                  <c:v>-0.124317600585963</c:v>
                </c:pt>
                <c:pt idx="68">
                  <c:v>0.870542922767869</c:v>
                </c:pt>
                <c:pt idx="69">
                  <c:v>-0.131338484750878</c:v>
                </c:pt>
                <c:pt idx="70">
                  <c:v>-0.127181542596239</c:v>
                </c:pt>
                <c:pt idx="71">
                  <c:v>-0.124175311535345</c:v>
                </c:pt>
                <c:pt idx="72">
                  <c:v>-0.127225313486326</c:v>
                </c:pt>
                <c:pt idx="73">
                  <c:v>-0.136900211067513</c:v>
                </c:pt>
                <c:pt idx="74">
                  <c:v>-0.18956369523197</c:v>
                </c:pt>
                <c:pt idx="75">
                  <c:v>-0.15143458653866</c:v>
                </c:pt>
                <c:pt idx="76">
                  <c:v>-0.15143458653866</c:v>
                </c:pt>
                <c:pt idx="77">
                  <c:v>-0.151456667792813</c:v>
                </c:pt>
                <c:pt idx="78">
                  <c:v>-0.147647487453066</c:v>
                </c:pt>
                <c:pt idx="79">
                  <c:v>-0.134590798848139</c:v>
                </c:pt>
                <c:pt idx="80">
                  <c:v>-0.144916329491511</c:v>
                </c:pt>
                <c:pt idx="81">
                  <c:v>-0.137553299972176</c:v>
                </c:pt>
                <c:pt idx="82">
                  <c:v>-0.12956093036046</c:v>
                </c:pt>
                <c:pt idx="83">
                  <c:v>-0.125798858281356</c:v>
                </c:pt>
                <c:pt idx="84">
                  <c:v>-0.117535253152021</c:v>
                </c:pt>
                <c:pt idx="85">
                  <c:v>-0.118672439861678</c:v>
                </c:pt>
                <c:pt idx="86">
                  <c:v>0.881909501530129</c:v>
                </c:pt>
                <c:pt idx="87">
                  <c:v>0.882146320057526</c:v>
                </c:pt>
                <c:pt idx="88">
                  <c:v>-0.11741516932098</c:v>
                </c:pt>
                <c:pt idx="89">
                  <c:v>-0.116044725267399</c:v>
                </c:pt>
                <c:pt idx="90">
                  <c:v>-0.117216826361569</c:v>
                </c:pt>
                <c:pt idx="91">
                  <c:v>-0.120005640967204</c:v>
                </c:pt>
                <c:pt idx="92">
                  <c:v>-0.111424879353581</c:v>
                </c:pt>
                <c:pt idx="93">
                  <c:v>-0.111274712627663</c:v>
                </c:pt>
                <c:pt idx="94">
                  <c:v>-0.107192654839439</c:v>
                </c:pt>
                <c:pt idx="95">
                  <c:v>-0.105883224770757</c:v>
                </c:pt>
                <c:pt idx="96">
                  <c:v>-0.0971447122804642</c:v>
                </c:pt>
                <c:pt idx="97">
                  <c:v>-0.0904990909687595</c:v>
                </c:pt>
                <c:pt idx="98">
                  <c:v>-0.0874253212750236</c:v>
                </c:pt>
                <c:pt idx="99">
                  <c:v>-0.0786832872740483</c:v>
                </c:pt>
                <c:pt idx="100">
                  <c:v>-0.0706474738391978</c:v>
                </c:pt>
                <c:pt idx="101">
                  <c:v>-0.0718005403691875</c:v>
                </c:pt>
                <c:pt idx="102">
                  <c:v>-0.0653015819306667</c:v>
                </c:pt>
                <c:pt idx="103">
                  <c:v>-0.0704560788841785</c:v>
                </c:pt>
                <c:pt idx="104">
                  <c:v>-0.0680516315605054</c:v>
                </c:pt>
                <c:pt idx="105">
                  <c:v>-0.0885900546241216</c:v>
                </c:pt>
                <c:pt idx="106">
                  <c:v>-0.0951333984059289</c:v>
                </c:pt>
                <c:pt idx="107">
                  <c:v>-0.103520149463517</c:v>
                </c:pt>
                <c:pt idx="108">
                  <c:v>0.891964727747919</c:v>
                </c:pt>
                <c:pt idx="109">
                  <c:v>-0.0915164326516797</c:v>
                </c:pt>
                <c:pt idx="110">
                  <c:v>-0.185552099566666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487679"/>
        <c:axId val="1073488159"/>
      </c:scatterChart>
      <c:valAx>
        <c:axId val="107348767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水料比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73488159"/>
        <c:crosses val="autoZero"/>
        <c:crossBetween val="midCat"/>
      </c:valAx>
      <c:valAx>
        <c:axId val="1073488159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Residuals</a:t>
                </a:r>
                <a:endParaRPr lang="en-US" altLang="zh-C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73487679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3144cbf6-cc68-4d96-aa41-759677cdb44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每日采食总量</a:t>
            </a:r>
            <a:r>
              <a:rPr lang="en-US" altLang="zh-CN"/>
              <a:t>(Kg) Line Fit  Plot</a:t>
            </a:r>
            <a:endParaRPr lang="en-US" altLang="zh-CN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"事故数"</c:f>
              <c:strCache>
                <c:ptCount val="1"/>
                <c:pt idx="0">
                  <c:v>事故数</c:v>
                </c:pt>
              </c:strCache>
            </c:strRef>
          </c:tx>
          <c:spPr>
            <a:ln w="38100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Sheet1!$B$5:$B$117</c:f>
              <c:numCache>
                <c:formatCode>General</c:formatCode>
                <c:ptCount val="0"/>
              </c:numCache>
            </c:numRef>
          </c:xVal>
          <c:yVal>
            <c:numRef>
              <c:f>Sheet1!$L$5:$L$117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"Predicted 事故数"</c:f>
              <c:strCache>
                <c:ptCount val="1"/>
                <c:pt idx="0">
                  <c:v>Predicted 事故数</c:v>
                </c:pt>
              </c:strCache>
            </c:strRef>
          </c:tx>
          <c:spPr>
            <a:ln w="38100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Sheet1!$B$5:$B$117</c:f>
              <c:numCache>
                <c:formatCode>General</c:formatCode>
                <c:ptCount val="0"/>
              </c:numCache>
            </c:numRef>
          </c:xVal>
          <c:yVal>
            <c:numRef>
              <c:f>Sheet4!$B$27:$B$137</c:f>
              <c:numCache>
                <c:formatCode>General</c:formatCode>
                <c:ptCount val="111"/>
                <c:pt idx="0">
                  <c:v>0.178749828430456</c:v>
                </c:pt>
                <c:pt idx="1">
                  <c:v>0.200892234601891</c:v>
                </c:pt>
                <c:pt idx="2">
                  <c:v>0.212226709002419</c:v>
                </c:pt>
                <c:pt idx="3">
                  <c:v>0.188916706822774</c:v>
                </c:pt>
                <c:pt idx="4">
                  <c:v>0.199067175040216</c:v>
                </c:pt>
                <c:pt idx="5">
                  <c:v>0.181805216995474</c:v>
                </c:pt>
                <c:pt idx="6">
                  <c:v>0.18573751804006</c:v>
                </c:pt>
                <c:pt idx="7">
                  <c:v>0.199833245755758</c:v>
                </c:pt>
                <c:pt idx="8">
                  <c:v>0.185444510417469</c:v>
                </c:pt>
                <c:pt idx="9">
                  <c:v>0.191899748103205</c:v>
                </c:pt>
                <c:pt idx="10">
                  <c:v>0.190825845765594</c:v>
                </c:pt>
                <c:pt idx="11">
                  <c:v>0.185850570109558</c:v>
                </c:pt>
                <c:pt idx="12">
                  <c:v>0.190135165661152</c:v>
                </c:pt>
                <c:pt idx="13">
                  <c:v>0.201527086166311</c:v>
                </c:pt>
                <c:pt idx="14">
                  <c:v>0.183098671412119</c:v>
                </c:pt>
                <c:pt idx="15">
                  <c:v>0.1746542717107</c:v>
                </c:pt>
                <c:pt idx="16">
                  <c:v>0.188785455743524</c:v>
                </c:pt>
                <c:pt idx="17">
                  <c:v>0.196815883452676</c:v>
                </c:pt>
                <c:pt idx="18">
                  <c:v>0.181319234741293</c:v>
                </c:pt>
                <c:pt idx="19">
                  <c:v>0.205936316678731</c:v>
                </c:pt>
                <c:pt idx="20">
                  <c:v>0.164155445480609</c:v>
                </c:pt>
                <c:pt idx="21">
                  <c:v>0.153005294678211</c:v>
                </c:pt>
                <c:pt idx="22">
                  <c:v>0.165911471347433</c:v>
                </c:pt>
                <c:pt idx="23">
                  <c:v>0.158913417028808</c:v>
                </c:pt>
                <c:pt idx="24">
                  <c:v>0.156467698904846</c:v>
                </c:pt>
                <c:pt idx="25">
                  <c:v>0.172402098769794</c:v>
                </c:pt>
                <c:pt idx="26">
                  <c:v>0.189033882149498</c:v>
                </c:pt>
                <c:pt idx="27">
                  <c:v>0.157420088045404</c:v>
                </c:pt>
                <c:pt idx="28">
                  <c:v>0.181822865897809</c:v>
                </c:pt>
                <c:pt idx="29">
                  <c:v>0.176918356616266</c:v>
                </c:pt>
                <c:pt idx="30">
                  <c:v>0.145512988513217</c:v>
                </c:pt>
                <c:pt idx="31">
                  <c:v>0.169354109315153</c:v>
                </c:pt>
                <c:pt idx="32">
                  <c:v>0.162383386495144</c:v>
                </c:pt>
                <c:pt idx="33">
                  <c:v>0.16440429479291</c:v>
                </c:pt>
                <c:pt idx="34">
                  <c:v>0.147276129530292</c:v>
                </c:pt>
                <c:pt idx="35">
                  <c:v>0.151852646344307</c:v>
                </c:pt>
                <c:pt idx="36">
                  <c:v>0.157638321229154</c:v>
                </c:pt>
                <c:pt idx="37">
                  <c:v>0.167472685411228</c:v>
                </c:pt>
                <c:pt idx="38">
                  <c:v>0.165841616182921</c:v>
                </c:pt>
                <c:pt idx="39">
                  <c:v>0.163277667784534</c:v>
                </c:pt>
                <c:pt idx="40">
                  <c:v>0.159087472060198</c:v>
                </c:pt>
                <c:pt idx="41">
                  <c:v>0.164876650518532</c:v>
                </c:pt>
                <c:pt idx="42">
                  <c:v>0.162742562849074</c:v>
                </c:pt>
                <c:pt idx="43">
                  <c:v>0.155691282585468</c:v>
                </c:pt>
                <c:pt idx="44">
                  <c:v>0.155443487724229</c:v>
                </c:pt>
                <c:pt idx="45">
                  <c:v>0.142882735110781</c:v>
                </c:pt>
                <c:pt idx="46">
                  <c:v>0.141511760147595</c:v>
                </c:pt>
                <c:pt idx="47">
                  <c:v>0.144338873095276</c:v>
                </c:pt>
                <c:pt idx="48">
                  <c:v>0.150517084917585</c:v>
                </c:pt>
                <c:pt idx="49">
                  <c:v>0.140552750810721</c:v>
                </c:pt>
                <c:pt idx="50">
                  <c:v>0.144078503514379</c:v>
                </c:pt>
                <c:pt idx="51">
                  <c:v>0.133331402348788</c:v>
                </c:pt>
                <c:pt idx="52">
                  <c:v>0.132551834583734</c:v>
                </c:pt>
                <c:pt idx="53">
                  <c:v>0.136721746118185</c:v>
                </c:pt>
                <c:pt idx="54">
                  <c:v>0.140712938572304</c:v>
                </c:pt>
                <c:pt idx="55">
                  <c:v>0.14640523825567</c:v>
                </c:pt>
                <c:pt idx="56">
                  <c:v>0.13989708958259</c:v>
                </c:pt>
                <c:pt idx="57">
                  <c:v>0.124071169747998</c:v>
                </c:pt>
                <c:pt idx="58">
                  <c:v>0.124439533775605</c:v>
                </c:pt>
                <c:pt idx="59">
                  <c:v>0.114019317932375</c:v>
                </c:pt>
                <c:pt idx="60">
                  <c:v>0.139427007580883</c:v>
                </c:pt>
                <c:pt idx="61">
                  <c:v>0.138566873424974</c:v>
                </c:pt>
                <c:pt idx="62">
                  <c:v>0.139263681965186</c:v>
                </c:pt>
                <c:pt idx="63">
                  <c:v>0.135039337943216</c:v>
                </c:pt>
                <c:pt idx="64">
                  <c:v>0.133111135390898</c:v>
                </c:pt>
                <c:pt idx="65">
                  <c:v>0.124145787497576</c:v>
                </c:pt>
                <c:pt idx="66">
                  <c:v>0.126467270733385</c:v>
                </c:pt>
                <c:pt idx="67">
                  <c:v>0.124317600585963</c:v>
                </c:pt>
                <c:pt idx="68">
                  <c:v>0.129457077232131</c:v>
                </c:pt>
                <c:pt idx="69">
                  <c:v>0.131338484750878</c:v>
                </c:pt>
                <c:pt idx="70">
                  <c:v>0.127181542596239</c:v>
                </c:pt>
                <c:pt idx="71">
                  <c:v>0.124175311535345</c:v>
                </c:pt>
                <c:pt idx="72">
                  <c:v>0.127225313486326</c:v>
                </c:pt>
                <c:pt idx="73">
                  <c:v>0.136900211067513</c:v>
                </c:pt>
                <c:pt idx="74">
                  <c:v>0.18956369523197</c:v>
                </c:pt>
                <c:pt idx="75">
                  <c:v>0.15143458653866</c:v>
                </c:pt>
                <c:pt idx="76">
                  <c:v>0.15143458653866</c:v>
                </c:pt>
                <c:pt idx="77">
                  <c:v>0.151456667792813</c:v>
                </c:pt>
                <c:pt idx="78">
                  <c:v>0.147647487453066</c:v>
                </c:pt>
                <c:pt idx="79">
                  <c:v>0.134590798848139</c:v>
                </c:pt>
                <c:pt idx="80">
                  <c:v>0.144916329491511</c:v>
                </c:pt>
                <c:pt idx="81">
                  <c:v>0.137553299972176</c:v>
                </c:pt>
                <c:pt idx="82">
                  <c:v>0.12956093036046</c:v>
                </c:pt>
                <c:pt idx="83">
                  <c:v>0.125798858281356</c:v>
                </c:pt>
                <c:pt idx="84">
                  <c:v>0.117535253152021</c:v>
                </c:pt>
                <c:pt idx="85">
                  <c:v>0.118672439861678</c:v>
                </c:pt>
                <c:pt idx="86">
                  <c:v>0.118090498469871</c:v>
                </c:pt>
                <c:pt idx="87">
                  <c:v>0.117853679942474</c:v>
                </c:pt>
                <c:pt idx="88">
                  <c:v>0.11741516932098</c:v>
                </c:pt>
                <c:pt idx="89">
                  <c:v>0.116044725267399</c:v>
                </c:pt>
                <c:pt idx="90">
                  <c:v>0.117216826361569</c:v>
                </c:pt>
                <c:pt idx="91">
                  <c:v>0.120005640967204</c:v>
                </c:pt>
                <c:pt idx="92">
                  <c:v>0.111424879353581</c:v>
                </c:pt>
                <c:pt idx="93">
                  <c:v>0.111274712627663</c:v>
                </c:pt>
                <c:pt idx="94">
                  <c:v>0.107192654839439</c:v>
                </c:pt>
                <c:pt idx="95">
                  <c:v>0.105883224770757</c:v>
                </c:pt>
                <c:pt idx="96">
                  <c:v>0.0971447122804642</c:v>
                </c:pt>
                <c:pt idx="97">
                  <c:v>0.0904990909687595</c:v>
                </c:pt>
                <c:pt idx="98">
                  <c:v>0.0874253212750236</c:v>
                </c:pt>
                <c:pt idx="99">
                  <c:v>0.0786832872740483</c:v>
                </c:pt>
                <c:pt idx="100">
                  <c:v>0.0706474738391978</c:v>
                </c:pt>
                <c:pt idx="101">
                  <c:v>0.0718005403691875</c:v>
                </c:pt>
                <c:pt idx="102">
                  <c:v>0.0653015819306667</c:v>
                </c:pt>
                <c:pt idx="103">
                  <c:v>0.0704560788841785</c:v>
                </c:pt>
                <c:pt idx="104">
                  <c:v>0.0680516315605054</c:v>
                </c:pt>
                <c:pt idx="105">
                  <c:v>0.0885900546241216</c:v>
                </c:pt>
                <c:pt idx="106">
                  <c:v>0.0951333984059289</c:v>
                </c:pt>
                <c:pt idx="107">
                  <c:v>0.103520149463517</c:v>
                </c:pt>
                <c:pt idx="108">
                  <c:v>0.108035272252081</c:v>
                </c:pt>
                <c:pt idx="109">
                  <c:v>0.0915164326516797</c:v>
                </c:pt>
                <c:pt idx="110">
                  <c:v>0.185552099566666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473279"/>
        <c:axId val="1073477599"/>
      </c:scatterChart>
      <c:valAx>
        <c:axId val="107347327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每日采食总量</a:t>
                </a:r>
                <a:r>
                  <a:rPr lang="en-US" altLang="zh-CN"/>
                  <a:t>(Kg)</a:t>
                </a:r>
                <a:endParaRPr lang="en-US" altLang="zh-CN"/>
              </a:p>
            </c:rich>
          </c:tx>
          <c:layout/>
          <c:overlay val="0"/>
        </c:title>
        <c:numFmt formatCode="0.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73477599"/>
        <c:crosses val="autoZero"/>
        <c:crossBetween val="midCat"/>
      </c:valAx>
      <c:valAx>
        <c:axId val="1073477599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事故数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73473279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8e6b7b-edcc-4cb3-a53f-663d9815d9e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每日喂水总量</a:t>
            </a:r>
            <a:r>
              <a:rPr lang="en-US" altLang="zh-CN"/>
              <a:t>(L) Line Fit  Plot</a:t>
            </a:r>
            <a:endParaRPr lang="en-US" altLang="zh-CN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"事故数"</c:f>
              <c:strCache>
                <c:ptCount val="1"/>
                <c:pt idx="0">
                  <c:v>事故数</c:v>
                </c:pt>
              </c:strCache>
            </c:strRef>
          </c:tx>
          <c:spPr>
            <a:ln w="38100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Sheet1!$C$5:$C$117</c:f>
              <c:numCache>
                <c:formatCode>General</c:formatCode>
                <c:ptCount val="0"/>
              </c:numCache>
            </c:numRef>
          </c:xVal>
          <c:yVal>
            <c:numRef>
              <c:f>Sheet1!$L$5:$L$117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"Predicted 事故数"</c:f>
              <c:strCache>
                <c:ptCount val="1"/>
                <c:pt idx="0">
                  <c:v>Predicted 事故数</c:v>
                </c:pt>
              </c:strCache>
            </c:strRef>
          </c:tx>
          <c:spPr>
            <a:ln w="38100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Sheet1!$C$5:$C$117</c:f>
              <c:numCache>
                <c:formatCode>General</c:formatCode>
                <c:ptCount val="0"/>
              </c:numCache>
            </c:numRef>
          </c:xVal>
          <c:yVal>
            <c:numRef>
              <c:f>Sheet4!$B$27:$B$137</c:f>
              <c:numCache>
                <c:formatCode>General</c:formatCode>
                <c:ptCount val="111"/>
                <c:pt idx="0">
                  <c:v>0.178749828430456</c:v>
                </c:pt>
                <c:pt idx="1">
                  <c:v>0.200892234601891</c:v>
                </c:pt>
                <c:pt idx="2">
                  <c:v>0.212226709002419</c:v>
                </c:pt>
                <c:pt idx="3">
                  <c:v>0.188916706822774</c:v>
                </c:pt>
                <c:pt idx="4">
                  <c:v>0.199067175040216</c:v>
                </c:pt>
                <c:pt idx="5">
                  <c:v>0.181805216995474</c:v>
                </c:pt>
                <c:pt idx="6">
                  <c:v>0.18573751804006</c:v>
                </c:pt>
                <c:pt idx="7">
                  <c:v>0.199833245755758</c:v>
                </c:pt>
                <c:pt idx="8">
                  <c:v>0.185444510417469</c:v>
                </c:pt>
                <c:pt idx="9">
                  <c:v>0.191899748103205</c:v>
                </c:pt>
                <c:pt idx="10">
                  <c:v>0.190825845765594</c:v>
                </c:pt>
                <c:pt idx="11">
                  <c:v>0.185850570109558</c:v>
                </c:pt>
                <c:pt idx="12">
                  <c:v>0.190135165661152</c:v>
                </c:pt>
                <c:pt idx="13">
                  <c:v>0.201527086166311</c:v>
                </c:pt>
                <c:pt idx="14">
                  <c:v>0.183098671412119</c:v>
                </c:pt>
                <c:pt idx="15">
                  <c:v>0.1746542717107</c:v>
                </c:pt>
                <c:pt idx="16">
                  <c:v>0.188785455743524</c:v>
                </c:pt>
                <c:pt idx="17">
                  <c:v>0.196815883452676</c:v>
                </c:pt>
                <c:pt idx="18">
                  <c:v>0.181319234741293</c:v>
                </c:pt>
                <c:pt idx="19">
                  <c:v>0.205936316678731</c:v>
                </c:pt>
                <c:pt idx="20">
                  <c:v>0.164155445480609</c:v>
                </c:pt>
                <c:pt idx="21">
                  <c:v>0.153005294678211</c:v>
                </c:pt>
                <c:pt idx="22">
                  <c:v>0.165911471347433</c:v>
                </c:pt>
                <c:pt idx="23">
                  <c:v>0.158913417028808</c:v>
                </c:pt>
                <c:pt idx="24">
                  <c:v>0.156467698904846</c:v>
                </c:pt>
                <c:pt idx="25">
                  <c:v>0.172402098769794</c:v>
                </c:pt>
                <c:pt idx="26">
                  <c:v>0.189033882149498</c:v>
                </c:pt>
                <c:pt idx="27">
                  <c:v>0.157420088045404</c:v>
                </c:pt>
                <c:pt idx="28">
                  <c:v>0.181822865897809</c:v>
                </c:pt>
                <c:pt idx="29">
                  <c:v>0.176918356616266</c:v>
                </c:pt>
                <c:pt idx="30">
                  <c:v>0.145512988513217</c:v>
                </c:pt>
                <c:pt idx="31">
                  <c:v>0.169354109315153</c:v>
                </c:pt>
                <c:pt idx="32">
                  <c:v>0.162383386495144</c:v>
                </c:pt>
                <c:pt idx="33">
                  <c:v>0.16440429479291</c:v>
                </c:pt>
                <c:pt idx="34">
                  <c:v>0.147276129530292</c:v>
                </c:pt>
                <c:pt idx="35">
                  <c:v>0.151852646344307</c:v>
                </c:pt>
                <c:pt idx="36">
                  <c:v>0.157638321229154</c:v>
                </c:pt>
                <c:pt idx="37">
                  <c:v>0.167472685411228</c:v>
                </c:pt>
                <c:pt idx="38">
                  <c:v>0.165841616182921</c:v>
                </c:pt>
                <c:pt idx="39">
                  <c:v>0.163277667784534</c:v>
                </c:pt>
                <c:pt idx="40">
                  <c:v>0.159087472060198</c:v>
                </c:pt>
                <c:pt idx="41">
                  <c:v>0.164876650518532</c:v>
                </c:pt>
                <c:pt idx="42">
                  <c:v>0.162742562849074</c:v>
                </c:pt>
                <c:pt idx="43">
                  <c:v>0.155691282585468</c:v>
                </c:pt>
                <c:pt idx="44">
                  <c:v>0.155443487724229</c:v>
                </c:pt>
                <c:pt idx="45">
                  <c:v>0.142882735110781</c:v>
                </c:pt>
                <c:pt idx="46">
                  <c:v>0.141511760147595</c:v>
                </c:pt>
                <c:pt idx="47">
                  <c:v>0.144338873095276</c:v>
                </c:pt>
                <c:pt idx="48">
                  <c:v>0.150517084917585</c:v>
                </c:pt>
                <c:pt idx="49">
                  <c:v>0.140552750810721</c:v>
                </c:pt>
                <c:pt idx="50">
                  <c:v>0.144078503514379</c:v>
                </c:pt>
                <c:pt idx="51">
                  <c:v>0.133331402348788</c:v>
                </c:pt>
                <c:pt idx="52">
                  <c:v>0.132551834583734</c:v>
                </c:pt>
                <c:pt idx="53">
                  <c:v>0.136721746118185</c:v>
                </c:pt>
                <c:pt idx="54">
                  <c:v>0.140712938572304</c:v>
                </c:pt>
                <c:pt idx="55">
                  <c:v>0.14640523825567</c:v>
                </c:pt>
                <c:pt idx="56">
                  <c:v>0.13989708958259</c:v>
                </c:pt>
                <c:pt idx="57">
                  <c:v>0.124071169747998</c:v>
                </c:pt>
                <c:pt idx="58">
                  <c:v>0.124439533775605</c:v>
                </c:pt>
                <c:pt idx="59">
                  <c:v>0.114019317932375</c:v>
                </c:pt>
                <c:pt idx="60">
                  <c:v>0.139427007580883</c:v>
                </c:pt>
                <c:pt idx="61">
                  <c:v>0.138566873424974</c:v>
                </c:pt>
                <c:pt idx="62">
                  <c:v>0.139263681965186</c:v>
                </c:pt>
                <c:pt idx="63">
                  <c:v>0.135039337943216</c:v>
                </c:pt>
                <c:pt idx="64">
                  <c:v>0.133111135390898</c:v>
                </c:pt>
                <c:pt idx="65">
                  <c:v>0.124145787497576</c:v>
                </c:pt>
                <c:pt idx="66">
                  <c:v>0.126467270733385</c:v>
                </c:pt>
                <c:pt idx="67">
                  <c:v>0.124317600585963</c:v>
                </c:pt>
                <c:pt idx="68">
                  <c:v>0.129457077232131</c:v>
                </c:pt>
                <c:pt idx="69">
                  <c:v>0.131338484750878</c:v>
                </c:pt>
                <c:pt idx="70">
                  <c:v>0.127181542596239</c:v>
                </c:pt>
                <c:pt idx="71">
                  <c:v>0.124175311535345</c:v>
                </c:pt>
                <c:pt idx="72">
                  <c:v>0.127225313486326</c:v>
                </c:pt>
                <c:pt idx="73">
                  <c:v>0.136900211067513</c:v>
                </c:pt>
                <c:pt idx="74">
                  <c:v>0.18956369523197</c:v>
                </c:pt>
                <c:pt idx="75">
                  <c:v>0.15143458653866</c:v>
                </c:pt>
                <c:pt idx="76">
                  <c:v>0.15143458653866</c:v>
                </c:pt>
                <c:pt idx="77">
                  <c:v>0.151456667792813</c:v>
                </c:pt>
                <c:pt idx="78">
                  <c:v>0.147647487453066</c:v>
                </c:pt>
                <c:pt idx="79">
                  <c:v>0.134590798848139</c:v>
                </c:pt>
                <c:pt idx="80">
                  <c:v>0.144916329491511</c:v>
                </c:pt>
                <c:pt idx="81">
                  <c:v>0.137553299972176</c:v>
                </c:pt>
                <c:pt idx="82">
                  <c:v>0.12956093036046</c:v>
                </c:pt>
                <c:pt idx="83">
                  <c:v>0.125798858281356</c:v>
                </c:pt>
                <c:pt idx="84">
                  <c:v>0.117535253152021</c:v>
                </c:pt>
                <c:pt idx="85">
                  <c:v>0.118672439861678</c:v>
                </c:pt>
                <c:pt idx="86">
                  <c:v>0.118090498469871</c:v>
                </c:pt>
                <c:pt idx="87">
                  <c:v>0.117853679942474</c:v>
                </c:pt>
                <c:pt idx="88">
                  <c:v>0.11741516932098</c:v>
                </c:pt>
                <c:pt idx="89">
                  <c:v>0.116044725267399</c:v>
                </c:pt>
                <c:pt idx="90">
                  <c:v>0.117216826361569</c:v>
                </c:pt>
                <c:pt idx="91">
                  <c:v>0.120005640967204</c:v>
                </c:pt>
                <c:pt idx="92">
                  <c:v>0.111424879353581</c:v>
                </c:pt>
                <c:pt idx="93">
                  <c:v>0.111274712627663</c:v>
                </c:pt>
                <c:pt idx="94">
                  <c:v>0.107192654839439</c:v>
                </c:pt>
                <c:pt idx="95">
                  <c:v>0.105883224770757</c:v>
                </c:pt>
                <c:pt idx="96">
                  <c:v>0.0971447122804642</c:v>
                </c:pt>
                <c:pt idx="97">
                  <c:v>0.0904990909687595</c:v>
                </c:pt>
                <c:pt idx="98">
                  <c:v>0.0874253212750236</c:v>
                </c:pt>
                <c:pt idx="99">
                  <c:v>0.0786832872740483</c:v>
                </c:pt>
                <c:pt idx="100">
                  <c:v>0.0706474738391978</c:v>
                </c:pt>
                <c:pt idx="101">
                  <c:v>0.0718005403691875</c:v>
                </c:pt>
                <c:pt idx="102">
                  <c:v>0.0653015819306667</c:v>
                </c:pt>
                <c:pt idx="103">
                  <c:v>0.0704560788841785</c:v>
                </c:pt>
                <c:pt idx="104">
                  <c:v>0.0680516315605054</c:v>
                </c:pt>
                <c:pt idx="105">
                  <c:v>0.0885900546241216</c:v>
                </c:pt>
                <c:pt idx="106">
                  <c:v>0.0951333984059289</c:v>
                </c:pt>
                <c:pt idx="107">
                  <c:v>0.103520149463517</c:v>
                </c:pt>
                <c:pt idx="108">
                  <c:v>0.108035272252081</c:v>
                </c:pt>
                <c:pt idx="109">
                  <c:v>0.0915164326516797</c:v>
                </c:pt>
                <c:pt idx="110">
                  <c:v>0.185552099566666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108943"/>
        <c:axId val="1309116623"/>
      </c:scatterChart>
      <c:valAx>
        <c:axId val="130910894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每日喂水总量</a:t>
                </a:r>
                <a:r>
                  <a:rPr lang="en-US" altLang="zh-CN"/>
                  <a:t>(L)</a:t>
                </a:r>
                <a:endParaRPr lang="en-US" altLang="zh-CN"/>
              </a:p>
            </c:rich>
          </c:tx>
          <c:layout/>
          <c:overlay val="0"/>
        </c:title>
        <c:numFmt formatCode="0.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09116623"/>
        <c:crosses val="autoZero"/>
        <c:crossBetween val="midCat"/>
      </c:valAx>
      <c:valAx>
        <c:axId val="130911662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事故数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09108943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983505-103c-46a0-a00d-d3ded0b7475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水料比 </a:t>
            </a:r>
            <a:r>
              <a:rPr lang="en-US" altLang="zh-CN"/>
              <a:t>Line Fit  Plot</a:t>
            </a:r>
            <a:endParaRPr lang="en-US" altLang="zh-CN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"事故数"</c:f>
              <c:strCache>
                <c:ptCount val="1"/>
                <c:pt idx="0">
                  <c:v>事故数</c:v>
                </c:pt>
              </c:strCache>
            </c:strRef>
          </c:tx>
          <c:spPr>
            <a:ln w="38100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Sheet1!$D$5:$D$117</c:f>
              <c:numCache>
                <c:formatCode>General</c:formatCode>
                <c:ptCount val="0"/>
              </c:numCache>
            </c:numRef>
          </c:xVal>
          <c:yVal>
            <c:numRef>
              <c:f>Sheet1!$L$5:$L$117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"Predicted 事故数"</c:f>
              <c:strCache>
                <c:ptCount val="1"/>
                <c:pt idx="0">
                  <c:v>Predicted 事故数</c:v>
                </c:pt>
              </c:strCache>
            </c:strRef>
          </c:tx>
          <c:spPr>
            <a:ln w="38100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Sheet1!$D$5:$D$117</c:f>
              <c:numCache>
                <c:formatCode>General</c:formatCode>
                <c:ptCount val="0"/>
              </c:numCache>
            </c:numRef>
          </c:xVal>
          <c:yVal>
            <c:numRef>
              <c:f>Sheet4!$B$27:$B$137</c:f>
              <c:numCache>
                <c:formatCode>General</c:formatCode>
                <c:ptCount val="111"/>
                <c:pt idx="0">
                  <c:v>0.178749828430456</c:v>
                </c:pt>
                <c:pt idx="1">
                  <c:v>0.200892234601891</c:v>
                </c:pt>
                <c:pt idx="2">
                  <c:v>0.212226709002419</c:v>
                </c:pt>
                <c:pt idx="3">
                  <c:v>0.188916706822774</c:v>
                </c:pt>
                <c:pt idx="4">
                  <c:v>0.199067175040216</c:v>
                </c:pt>
                <c:pt idx="5">
                  <c:v>0.181805216995474</c:v>
                </c:pt>
                <c:pt idx="6">
                  <c:v>0.18573751804006</c:v>
                </c:pt>
                <c:pt idx="7">
                  <c:v>0.199833245755758</c:v>
                </c:pt>
                <c:pt idx="8">
                  <c:v>0.185444510417469</c:v>
                </c:pt>
                <c:pt idx="9">
                  <c:v>0.191899748103205</c:v>
                </c:pt>
                <c:pt idx="10">
                  <c:v>0.190825845765594</c:v>
                </c:pt>
                <c:pt idx="11">
                  <c:v>0.185850570109558</c:v>
                </c:pt>
                <c:pt idx="12">
                  <c:v>0.190135165661152</c:v>
                </c:pt>
                <c:pt idx="13">
                  <c:v>0.201527086166311</c:v>
                </c:pt>
                <c:pt idx="14">
                  <c:v>0.183098671412119</c:v>
                </c:pt>
                <c:pt idx="15">
                  <c:v>0.1746542717107</c:v>
                </c:pt>
                <c:pt idx="16">
                  <c:v>0.188785455743524</c:v>
                </c:pt>
                <c:pt idx="17">
                  <c:v>0.196815883452676</c:v>
                </c:pt>
                <c:pt idx="18">
                  <c:v>0.181319234741293</c:v>
                </c:pt>
                <c:pt idx="19">
                  <c:v>0.205936316678731</c:v>
                </c:pt>
                <c:pt idx="20">
                  <c:v>0.164155445480609</c:v>
                </c:pt>
                <c:pt idx="21">
                  <c:v>0.153005294678211</c:v>
                </c:pt>
                <c:pt idx="22">
                  <c:v>0.165911471347433</c:v>
                </c:pt>
                <c:pt idx="23">
                  <c:v>0.158913417028808</c:v>
                </c:pt>
                <c:pt idx="24">
                  <c:v>0.156467698904846</c:v>
                </c:pt>
                <c:pt idx="25">
                  <c:v>0.172402098769794</c:v>
                </c:pt>
                <c:pt idx="26">
                  <c:v>0.189033882149498</c:v>
                </c:pt>
                <c:pt idx="27">
                  <c:v>0.157420088045404</c:v>
                </c:pt>
                <c:pt idx="28">
                  <c:v>0.181822865897809</c:v>
                </c:pt>
                <c:pt idx="29">
                  <c:v>0.176918356616266</c:v>
                </c:pt>
                <c:pt idx="30">
                  <c:v>0.145512988513217</c:v>
                </c:pt>
                <c:pt idx="31">
                  <c:v>0.169354109315153</c:v>
                </c:pt>
                <c:pt idx="32">
                  <c:v>0.162383386495144</c:v>
                </c:pt>
                <c:pt idx="33">
                  <c:v>0.16440429479291</c:v>
                </c:pt>
                <c:pt idx="34">
                  <c:v>0.147276129530292</c:v>
                </c:pt>
                <c:pt idx="35">
                  <c:v>0.151852646344307</c:v>
                </c:pt>
                <c:pt idx="36">
                  <c:v>0.157638321229154</c:v>
                </c:pt>
                <c:pt idx="37">
                  <c:v>0.167472685411228</c:v>
                </c:pt>
                <c:pt idx="38">
                  <c:v>0.165841616182921</c:v>
                </c:pt>
                <c:pt idx="39">
                  <c:v>0.163277667784534</c:v>
                </c:pt>
                <c:pt idx="40">
                  <c:v>0.159087472060198</c:v>
                </c:pt>
                <c:pt idx="41">
                  <c:v>0.164876650518532</c:v>
                </c:pt>
                <c:pt idx="42">
                  <c:v>0.162742562849074</c:v>
                </c:pt>
                <c:pt idx="43">
                  <c:v>0.155691282585468</c:v>
                </c:pt>
                <c:pt idx="44">
                  <c:v>0.155443487724229</c:v>
                </c:pt>
                <c:pt idx="45">
                  <c:v>0.142882735110781</c:v>
                </c:pt>
                <c:pt idx="46">
                  <c:v>0.141511760147595</c:v>
                </c:pt>
                <c:pt idx="47">
                  <c:v>0.144338873095276</c:v>
                </c:pt>
                <c:pt idx="48">
                  <c:v>0.150517084917585</c:v>
                </c:pt>
                <c:pt idx="49">
                  <c:v>0.140552750810721</c:v>
                </c:pt>
                <c:pt idx="50">
                  <c:v>0.144078503514379</c:v>
                </c:pt>
                <c:pt idx="51">
                  <c:v>0.133331402348788</c:v>
                </c:pt>
                <c:pt idx="52">
                  <c:v>0.132551834583734</c:v>
                </c:pt>
                <c:pt idx="53">
                  <c:v>0.136721746118185</c:v>
                </c:pt>
                <c:pt idx="54">
                  <c:v>0.140712938572304</c:v>
                </c:pt>
                <c:pt idx="55">
                  <c:v>0.14640523825567</c:v>
                </c:pt>
                <c:pt idx="56">
                  <c:v>0.13989708958259</c:v>
                </c:pt>
                <c:pt idx="57">
                  <c:v>0.124071169747998</c:v>
                </c:pt>
                <c:pt idx="58">
                  <c:v>0.124439533775605</c:v>
                </c:pt>
                <c:pt idx="59">
                  <c:v>0.114019317932375</c:v>
                </c:pt>
                <c:pt idx="60">
                  <c:v>0.139427007580883</c:v>
                </c:pt>
                <c:pt idx="61">
                  <c:v>0.138566873424974</c:v>
                </c:pt>
                <c:pt idx="62">
                  <c:v>0.139263681965186</c:v>
                </c:pt>
                <c:pt idx="63">
                  <c:v>0.135039337943216</c:v>
                </c:pt>
                <c:pt idx="64">
                  <c:v>0.133111135390898</c:v>
                </c:pt>
                <c:pt idx="65">
                  <c:v>0.124145787497576</c:v>
                </c:pt>
                <c:pt idx="66">
                  <c:v>0.126467270733385</c:v>
                </c:pt>
                <c:pt idx="67">
                  <c:v>0.124317600585963</c:v>
                </c:pt>
                <c:pt idx="68">
                  <c:v>0.129457077232131</c:v>
                </c:pt>
                <c:pt idx="69">
                  <c:v>0.131338484750878</c:v>
                </c:pt>
                <c:pt idx="70">
                  <c:v>0.127181542596239</c:v>
                </c:pt>
                <c:pt idx="71">
                  <c:v>0.124175311535345</c:v>
                </c:pt>
                <c:pt idx="72">
                  <c:v>0.127225313486326</c:v>
                </c:pt>
                <c:pt idx="73">
                  <c:v>0.136900211067513</c:v>
                </c:pt>
                <c:pt idx="74">
                  <c:v>0.18956369523197</c:v>
                </c:pt>
                <c:pt idx="75">
                  <c:v>0.15143458653866</c:v>
                </c:pt>
                <c:pt idx="76">
                  <c:v>0.15143458653866</c:v>
                </c:pt>
                <c:pt idx="77">
                  <c:v>0.151456667792813</c:v>
                </c:pt>
                <c:pt idx="78">
                  <c:v>0.147647487453066</c:v>
                </c:pt>
                <c:pt idx="79">
                  <c:v>0.134590798848139</c:v>
                </c:pt>
                <c:pt idx="80">
                  <c:v>0.144916329491511</c:v>
                </c:pt>
                <c:pt idx="81">
                  <c:v>0.137553299972176</c:v>
                </c:pt>
                <c:pt idx="82">
                  <c:v>0.12956093036046</c:v>
                </c:pt>
                <c:pt idx="83">
                  <c:v>0.125798858281356</c:v>
                </c:pt>
                <c:pt idx="84">
                  <c:v>0.117535253152021</c:v>
                </c:pt>
                <c:pt idx="85">
                  <c:v>0.118672439861678</c:v>
                </c:pt>
                <c:pt idx="86">
                  <c:v>0.118090498469871</c:v>
                </c:pt>
                <c:pt idx="87">
                  <c:v>0.117853679942474</c:v>
                </c:pt>
                <c:pt idx="88">
                  <c:v>0.11741516932098</c:v>
                </c:pt>
                <c:pt idx="89">
                  <c:v>0.116044725267399</c:v>
                </c:pt>
                <c:pt idx="90">
                  <c:v>0.117216826361569</c:v>
                </c:pt>
                <c:pt idx="91">
                  <c:v>0.120005640967204</c:v>
                </c:pt>
                <c:pt idx="92">
                  <c:v>0.111424879353581</c:v>
                </c:pt>
                <c:pt idx="93">
                  <c:v>0.111274712627663</c:v>
                </c:pt>
                <c:pt idx="94">
                  <c:v>0.107192654839439</c:v>
                </c:pt>
                <c:pt idx="95">
                  <c:v>0.105883224770757</c:v>
                </c:pt>
                <c:pt idx="96">
                  <c:v>0.0971447122804642</c:v>
                </c:pt>
                <c:pt idx="97">
                  <c:v>0.0904990909687595</c:v>
                </c:pt>
                <c:pt idx="98">
                  <c:v>0.0874253212750236</c:v>
                </c:pt>
                <c:pt idx="99">
                  <c:v>0.0786832872740483</c:v>
                </c:pt>
                <c:pt idx="100">
                  <c:v>0.0706474738391978</c:v>
                </c:pt>
                <c:pt idx="101">
                  <c:v>0.0718005403691875</c:v>
                </c:pt>
                <c:pt idx="102">
                  <c:v>0.0653015819306667</c:v>
                </c:pt>
                <c:pt idx="103">
                  <c:v>0.0704560788841785</c:v>
                </c:pt>
                <c:pt idx="104">
                  <c:v>0.0680516315605054</c:v>
                </c:pt>
                <c:pt idx="105">
                  <c:v>0.0885900546241216</c:v>
                </c:pt>
                <c:pt idx="106">
                  <c:v>0.0951333984059289</c:v>
                </c:pt>
                <c:pt idx="107">
                  <c:v>0.103520149463517</c:v>
                </c:pt>
                <c:pt idx="108">
                  <c:v>0.108035272252081</c:v>
                </c:pt>
                <c:pt idx="109">
                  <c:v>0.0915164326516797</c:v>
                </c:pt>
                <c:pt idx="110">
                  <c:v>0.185552099566666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104623"/>
        <c:axId val="1309111823"/>
      </c:scatterChart>
      <c:valAx>
        <c:axId val="130910462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水料比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09111823"/>
        <c:crosses val="autoZero"/>
        <c:crossBetween val="midCat"/>
      </c:valAx>
      <c:valAx>
        <c:axId val="130911182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事故数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09104623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9d3687-d595-4013-a583-756ab9d49c2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每日采食总量</a:t>
            </a:r>
            <a:r>
              <a:rPr lang="en-US" altLang="zh-CN"/>
              <a:t>(Kg)  Residual Plot</a:t>
            </a:r>
            <a:endParaRPr lang="en-US" altLang="zh-CN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38100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Sheet1!$B$5:$B$117</c:f>
              <c:numCache>
                <c:formatCode>General</c:formatCode>
                <c:ptCount val="0"/>
              </c:numCache>
            </c:numRef>
          </c:xVal>
          <c:yVal>
            <c:numRef>
              <c:f>Sheet5!$C$27:$C$137</c:f>
              <c:numCache>
                <c:formatCode>General</c:formatCode>
                <c:ptCount val="111"/>
                <c:pt idx="0">
                  <c:v>0.876584928433503</c:v>
                </c:pt>
                <c:pt idx="1">
                  <c:v>-0.128138943329112</c:v>
                </c:pt>
                <c:pt idx="2">
                  <c:v>-0.130531141113009</c:v>
                </c:pt>
                <c:pt idx="3">
                  <c:v>-0.125318873480123</c:v>
                </c:pt>
                <c:pt idx="4">
                  <c:v>-0.127708445112145</c:v>
                </c:pt>
                <c:pt idx="5">
                  <c:v>-0.123820971012848</c:v>
                </c:pt>
                <c:pt idx="6">
                  <c:v>-0.124835772467651</c:v>
                </c:pt>
                <c:pt idx="7">
                  <c:v>-0.127959793024163</c:v>
                </c:pt>
                <c:pt idx="8">
                  <c:v>-0.1246433351021</c:v>
                </c:pt>
                <c:pt idx="9">
                  <c:v>-0.126154295301611</c:v>
                </c:pt>
                <c:pt idx="10">
                  <c:v>-0.125960480829326</c:v>
                </c:pt>
                <c:pt idx="11">
                  <c:v>-0.124893193324883</c:v>
                </c:pt>
                <c:pt idx="12">
                  <c:v>-0.125840413296642</c:v>
                </c:pt>
                <c:pt idx="13">
                  <c:v>-0.128274066167293</c:v>
                </c:pt>
                <c:pt idx="14">
                  <c:v>-0.124192440386759</c:v>
                </c:pt>
                <c:pt idx="15">
                  <c:v>-0.122300492744817</c:v>
                </c:pt>
                <c:pt idx="16">
                  <c:v>-0.12551242006959</c:v>
                </c:pt>
                <c:pt idx="17">
                  <c:v>0.872725894865629</c:v>
                </c:pt>
                <c:pt idx="18">
                  <c:v>-0.123641249443792</c:v>
                </c:pt>
                <c:pt idx="19">
                  <c:v>-0.129159860629271</c:v>
                </c:pt>
                <c:pt idx="20">
                  <c:v>-0.120486323440665</c:v>
                </c:pt>
                <c:pt idx="21">
                  <c:v>-0.11775804136298</c:v>
                </c:pt>
                <c:pt idx="22">
                  <c:v>-0.120584431657413</c:v>
                </c:pt>
                <c:pt idx="23">
                  <c:v>-0.119090325368493</c:v>
                </c:pt>
                <c:pt idx="24">
                  <c:v>-0.118742924070201</c:v>
                </c:pt>
                <c:pt idx="25">
                  <c:v>-0.122092311959465</c:v>
                </c:pt>
                <c:pt idx="26">
                  <c:v>0.874352693784897</c:v>
                </c:pt>
                <c:pt idx="27">
                  <c:v>-0.118886545309872</c:v>
                </c:pt>
                <c:pt idx="28">
                  <c:v>-0.124111562048393</c:v>
                </c:pt>
                <c:pt idx="29">
                  <c:v>-0.122987301850125</c:v>
                </c:pt>
                <c:pt idx="30">
                  <c:v>-0.116210480703675</c:v>
                </c:pt>
                <c:pt idx="31">
                  <c:v>-0.121439051759897</c:v>
                </c:pt>
                <c:pt idx="32">
                  <c:v>0.880058005512205</c:v>
                </c:pt>
                <c:pt idx="33">
                  <c:v>-0.120387606332093</c:v>
                </c:pt>
                <c:pt idx="34">
                  <c:v>-0.116745548334633</c:v>
                </c:pt>
                <c:pt idx="35">
                  <c:v>-0.117701654099007</c:v>
                </c:pt>
                <c:pt idx="36">
                  <c:v>-0.11889669978524</c:v>
                </c:pt>
                <c:pt idx="37">
                  <c:v>-0.121015986465676</c:v>
                </c:pt>
                <c:pt idx="38">
                  <c:v>-0.1206626666097</c:v>
                </c:pt>
                <c:pt idx="39">
                  <c:v>-0.119893078645864</c:v>
                </c:pt>
                <c:pt idx="40">
                  <c:v>-0.119257014891176</c:v>
                </c:pt>
                <c:pt idx="41">
                  <c:v>-0.120498373703997</c:v>
                </c:pt>
                <c:pt idx="42">
                  <c:v>-0.120028178513585</c:v>
                </c:pt>
                <c:pt idx="43">
                  <c:v>-0.118553888902942</c:v>
                </c:pt>
                <c:pt idx="44">
                  <c:v>-0.118411855465383</c:v>
                </c:pt>
                <c:pt idx="45">
                  <c:v>-0.115680420365185</c:v>
                </c:pt>
                <c:pt idx="46">
                  <c:v>-0.115419178957545</c:v>
                </c:pt>
                <c:pt idx="47">
                  <c:v>0.883842645394949</c:v>
                </c:pt>
                <c:pt idx="48">
                  <c:v>-0.117451270087531</c:v>
                </c:pt>
                <c:pt idx="49">
                  <c:v>-0.11540500804783</c:v>
                </c:pt>
                <c:pt idx="50">
                  <c:v>0.883995722068705</c:v>
                </c:pt>
                <c:pt idx="51">
                  <c:v>-0.113744618437152</c:v>
                </c:pt>
                <c:pt idx="52">
                  <c:v>-0.113640965539099</c:v>
                </c:pt>
                <c:pt idx="53">
                  <c:v>-0.114545805746337</c:v>
                </c:pt>
                <c:pt idx="54">
                  <c:v>-0.115364874096932</c:v>
                </c:pt>
                <c:pt idx="55">
                  <c:v>0.883356755724907</c:v>
                </c:pt>
                <c:pt idx="56">
                  <c:v>-0.115254305381767</c:v>
                </c:pt>
                <c:pt idx="57">
                  <c:v>-0.111936623427258</c:v>
                </c:pt>
                <c:pt idx="58">
                  <c:v>0.88795449160383</c:v>
                </c:pt>
                <c:pt idx="59">
                  <c:v>-0.109697711254677</c:v>
                </c:pt>
                <c:pt idx="60">
                  <c:v>0.88489893987024</c:v>
                </c:pt>
                <c:pt idx="61">
                  <c:v>-0.114918100004642</c:v>
                </c:pt>
                <c:pt idx="62">
                  <c:v>-0.11505829147584</c:v>
                </c:pt>
                <c:pt idx="63">
                  <c:v>-0.114317512006741</c:v>
                </c:pt>
                <c:pt idx="64">
                  <c:v>-0.113818077729256</c:v>
                </c:pt>
                <c:pt idx="65">
                  <c:v>-0.111887736267736</c:v>
                </c:pt>
                <c:pt idx="66">
                  <c:v>-0.112366940894857</c:v>
                </c:pt>
                <c:pt idx="67">
                  <c:v>-0.111894997485912</c:v>
                </c:pt>
                <c:pt idx="68">
                  <c:v>0.886976960325376</c:v>
                </c:pt>
                <c:pt idx="69">
                  <c:v>-0.113489354709266</c:v>
                </c:pt>
                <c:pt idx="70">
                  <c:v>-0.112637050267768</c:v>
                </c:pt>
                <c:pt idx="71">
                  <c:v>-0.11200671057198</c:v>
                </c:pt>
                <c:pt idx="72">
                  <c:v>-0.112722714268698</c:v>
                </c:pt>
                <c:pt idx="73">
                  <c:v>-0.115234268764902</c:v>
                </c:pt>
                <c:pt idx="74">
                  <c:v>-0.133803508779431</c:v>
                </c:pt>
                <c:pt idx="75">
                  <c:v>-0.117797871362183</c:v>
                </c:pt>
                <c:pt idx="76">
                  <c:v>-0.117797871362183</c:v>
                </c:pt>
                <c:pt idx="77">
                  <c:v>-0.117715305941446</c:v>
                </c:pt>
                <c:pt idx="78">
                  <c:v>-0.117048682584547</c:v>
                </c:pt>
                <c:pt idx="79">
                  <c:v>-0.114116296055994</c:v>
                </c:pt>
                <c:pt idx="80">
                  <c:v>-0.116333413228036</c:v>
                </c:pt>
                <c:pt idx="81">
                  <c:v>-0.114930904356105</c:v>
                </c:pt>
                <c:pt idx="82">
                  <c:v>-0.113367665706296</c:v>
                </c:pt>
                <c:pt idx="83">
                  <c:v>-0.112772805050964</c:v>
                </c:pt>
                <c:pt idx="84">
                  <c:v>-0.110898590905873</c:v>
                </c:pt>
                <c:pt idx="85">
                  <c:v>-0.111181123772906</c:v>
                </c:pt>
                <c:pt idx="86">
                  <c:v>0.888970242097529</c:v>
                </c:pt>
                <c:pt idx="87">
                  <c:v>0.889075957297963</c:v>
                </c:pt>
                <c:pt idx="88">
                  <c:v>-0.110840384775771</c:v>
                </c:pt>
                <c:pt idx="89">
                  <c:v>-0.110689873275079</c:v>
                </c:pt>
                <c:pt idx="90">
                  <c:v>-0.110873139109709</c:v>
                </c:pt>
                <c:pt idx="91">
                  <c:v>-0.111609503542509</c:v>
                </c:pt>
                <c:pt idx="92">
                  <c:v>-0.109734056736503</c:v>
                </c:pt>
                <c:pt idx="93">
                  <c:v>-0.110037073340827</c:v>
                </c:pt>
                <c:pt idx="94">
                  <c:v>-0.109262057315051</c:v>
                </c:pt>
                <c:pt idx="95">
                  <c:v>-0.109297258373525</c:v>
                </c:pt>
                <c:pt idx="96">
                  <c:v>-0.107187394692317</c:v>
                </c:pt>
                <c:pt idx="97">
                  <c:v>-0.105890498280645</c:v>
                </c:pt>
                <c:pt idx="98">
                  <c:v>-0.105724055615771</c:v>
                </c:pt>
                <c:pt idx="99">
                  <c:v>-0.104322354606535</c:v>
                </c:pt>
                <c:pt idx="100">
                  <c:v>-0.102711062778845</c:v>
                </c:pt>
                <c:pt idx="101">
                  <c:v>-0.103965343789877</c:v>
                </c:pt>
                <c:pt idx="102">
                  <c:v>-0.101247172572685</c:v>
                </c:pt>
                <c:pt idx="103">
                  <c:v>-0.102600132071295</c:v>
                </c:pt>
                <c:pt idx="104">
                  <c:v>-0.101064247393395</c:v>
                </c:pt>
                <c:pt idx="105">
                  <c:v>-0.110195668462959</c:v>
                </c:pt>
                <c:pt idx="106">
                  <c:v>-0.114545746749925</c:v>
                </c:pt>
                <c:pt idx="107">
                  <c:v>-0.118968767085469</c:v>
                </c:pt>
                <c:pt idx="108">
                  <c:v>0.878343313073614</c:v>
                </c:pt>
                <c:pt idx="109">
                  <c:v>-0.115635630793092</c:v>
                </c:pt>
                <c:pt idx="110">
                  <c:v>-0.155150515681071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966879"/>
        <c:axId val="1293825647"/>
      </c:scatterChart>
      <c:valAx>
        <c:axId val="129896687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每日采食总量</a:t>
                </a:r>
                <a:r>
                  <a:rPr lang="en-US" altLang="zh-CN"/>
                  <a:t>(Kg)</a:t>
                </a:r>
                <a:endParaRPr lang="en-US" altLang="zh-CN"/>
              </a:p>
            </c:rich>
          </c:tx>
          <c:layout/>
          <c:overlay val="0"/>
        </c:title>
        <c:numFmt formatCode="0.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93825647"/>
        <c:crosses val="autoZero"/>
        <c:crossBetween val="midCat"/>
      </c:valAx>
      <c:valAx>
        <c:axId val="129382564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Residuals</a:t>
                </a:r>
                <a:endParaRPr lang="en-US" altLang="zh-C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98966879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19a3abdd-f5e8-409c-8ca7-7e0cd942430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每日喂水总量</a:t>
            </a:r>
            <a:r>
              <a:rPr lang="en-US" altLang="zh-CN"/>
              <a:t>(L)  Residual Plot</a:t>
            </a:r>
            <a:endParaRPr lang="en-US" altLang="zh-CN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38100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Sheet1!$C$5:$C$117</c:f>
              <c:numCache>
                <c:formatCode>General</c:formatCode>
                <c:ptCount val="0"/>
              </c:numCache>
            </c:numRef>
          </c:xVal>
          <c:yVal>
            <c:numRef>
              <c:f>Sheet5!$C$27:$C$137</c:f>
              <c:numCache>
                <c:formatCode>General</c:formatCode>
                <c:ptCount val="111"/>
                <c:pt idx="0">
                  <c:v>0.876584928433503</c:v>
                </c:pt>
                <c:pt idx="1">
                  <c:v>-0.128138943329112</c:v>
                </c:pt>
                <c:pt idx="2">
                  <c:v>-0.130531141113009</c:v>
                </c:pt>
                <c:pt idx="3">
                  <c:v>-0.125318873480123</c:v>
                </c:pt>
                <c:pt idx="4">
                  <c:v>-0.127708445112145</c:v>
                </c:pt>
                <c:pt idx="5">
                  <c:v>-0.123820971012848</c:v>
                </c:pt>
                <c:pt idx="6">
                  <c:v>-0.124835772467651</c:v>
                </c:pt>
                <c:pt idx="7">
                  <c:v>-0.127959793024163</c:v>
                </c:pt>
                <c:pt idx="8">
                  <c:v>-0.1246433351021</c:v>
                </c:pt>
                <c:pt idx="9">
                  <c:v>-0.126154295301611</c:v>
                </c:pt>
                <c:pt idx="10">
                  <c:v>-0.125960480829326</c:v>
                </c:pt>
                <c:pt idx="11">
                  <c:v>-0.124893193324883</c:v>
                </c:pt>
                <c:pt idx="12">
                  <c:v>-0.125840413296642</c:v>
                </c:pt>
                <c:pt idx="13">
                  <c:v>-0.128274066167293</c:v>
                </c:pt>
                <c:pt idx="14">
                  <c:v>-0.124192440386759</c:v>
                </c:pt>
                <c:pt idx="15">
                  <c:v>-0.122300492744817</c:v>
                </c:pt>
                <c:pt idx="16">
                  <c:v>-0.12551242006959</c:v>
                </c:pt>
                <c:pt idx="17">
                  <c:v>0.872725894865629</c:v>
                </c:pt>
                <c:pt idx="18">
                  <c:v>-0.123641249443792</c:v>
                </c:pt>
                <c:pt idx="19">
                  <c:v>-0.129159860629271</c:v>
                </c:pt>
                <c:pt idx="20">
                  <c:v>-0.120486323440665</c:v>
                </c:pt>
                <c:pt idx="21">
                  <c:v>-0.11775804136298</c:v>
                </c:pt>
                <c:pt idx="22">
                  <c:v>-0.120584431657413</c:v>
                </c:pt>
                <c:pt idx="23">
                  <c:v>-0.119090325368493</c:v>
                </c:pt>
                <c:pt idx="24">
                  <c:v>-0.118742924070201</c:v>
                </c:pt>
                <c:pt idx="25">
                  <c:v>-0.122092311959465</c:v>
                </c:pt>
                <c:pt idx="26">
                  <c:v>0.874352693784897</c:v>
                </c:pt>
                <c:pt idx="27">
                  <c:v>-0.118886545309872</c:v>
                </c:pt>
                <c:pt idx="28">
                  <c:v>-0.124111562048393</c:v>
                </c:pt>
                <c:pt idx="29">
                  <c:v>-0.122987301850125</c:v>
                </c:pt>
                <c:pt idx="30">
                  <c:v>-0.116210480703675</c:v>
                </c:pt>
                <c:pt idx="31">
                  <c:v>-0.121439051759897</c:v>
                </c:pt>
                <c:pt idx="32">
                  <c:v>0.880058005512205</c:v>
                </c:pt>
                <c:pt idx="33">
                  <c:v>-0.120387606332093</c:v>
                </c:pt>
                <c:pt idx="34">
                  <c:v>-0.116745548334633</c:v>
                </c:pt>
                <c:pt idx="35">
                  <c:v>-0.117701654099007</c:v>
                </c:pt>
                <c:pt idx="36">
                  <c:v>-0.11889669978524</c:v>
                </c:pt>
                <c:pt idx="37">
                  <c:v>-0.121015986465676</c:v>
                </c:pt>
                <c:pt idx="38">
                  <c:v>-0.1206626666097</c:v>
                </c:pt>
                <c:pt idx="39">
                  <c:v>-0.119893078645864</c:v>
                </c:pt>
                <c:pt idx="40">
                  <c:v>-0.119257014891176</c:v>
                </c:pt>
                <c:pt idx="41">
                  <c:v>-0.120498373703997</c:v>
                </c:pt>
                <c:pt idx="42">
                  <c:v>-0.120028178513585</c:v>
                </c:pt>
                <c:pt idx="43">
                  <c:v>-0.118553888902942</c:v>
                </c:pt>
                <c:pt idx="44">
                  <c:v>-0.118411855465383</c:v>
                </c:pt>
                <c:pt idx="45">
                  <c:v>-0.115680420365185</c:v>
                </c:pt>
                <c:pt idx="46">
                  <c:v>-0.115419178957545</c:v>
                </c:pt>
                <c:pt idx="47">
                  <c:v>0.883842645394949</c:v>
                </c:pt>
                <c:pt idx="48">
                  <c:v>-0.117451270087531</c:v>
                </c:pt>
                <c:pt idx="49">
                  <c:v>-0.11540500804783</c:v>
                </c:pt>
                <c:pt idx="50">
                  <c:v>0.883995722068705</c:v>
                </c:pt>
                <c:pt idx="51">
                  <c:v>-0.113744618437152</c:v>
                </c:pt>
                <c:pt idx="52">
                  <c:v>-0.113640965539099</c:v>
                </c:pt>
                <c:pt idx="53">
                  <c:v>-0.114545805746337</c:v>
                </c:pt>
                <c:pt idx="54">
                  <c:v>-0.115364874096932</c:v>
                </c:pt>
                <c:pt idx="55">
                  <c:v>0.883356755724907</c:v>
                </c:pt>
                <c:pt idx="56">
                  <c:v>-0.115254305381767</c:v>
                </c:pt>
                <c:pt idx="57">
                  <c:v>-0.111936623427258</c:v>
                </c:pt>
                <c:pt idx="58">
                  <c:v>0.88795449160383</c:v>
                </c:pt>
                <c:pt idx="59">
                  <c:v>-0.109697711254677</c:v>
                </c:pt>
                <c:pt idx="60">
                  <c:v>0.88489893987024</c:v>
                </c:pt>
                <c:pt idx="61">
                  <c:v>-0.114918100004642</c:v>
                </c:pt>
                <c:pt idx="62">
                  <c:v>-0.11505829147584</c:v>
                </c:pt>
                <c:pt idx="63">
                  <c:v>-0.114317512006741</c:v>
                </c:pt>
                <c:pt idx="64">
                  <c:v>-0.113818077729256</c:v>
                </c:pt>
                <c:pt idx="65">
                  <c:v>-0.111887736267736</c:v>
                </c:pt>
                <c:pt idx="66">
                  <c:v>-0.112366940894857</c:v>
                </c:pt>
                <c:pt idx="67">
                  <c:v>-0.111894997485912</c:v>
                </c:pt>
                <c:pt idx="68">
                  <c:v>0.886976960325376</c:v>
                </c:pt>
                <c:pt idx="69">
                  <c:v>-0.113489354709266</c:v>
                </c:pt>
                <c:pt idx="70">
                  <c:v>-0.112637050267768</c:v>
                </c:pt>
                <c:pt idx="71">
                  <c:v>-0.11200671057198</c:v>
                </c:pt>
                <c:pt idx="72">
                  <c:v>-0.112722714268698</c:v>
                </c:pt>
                <c:pt idx="73">
                  <c:v>-0.115234268764902</c:v>
                </c:pt>
                <c:pt idx="74">
                  <c:v>-0.133803508779431</c:v>
                </c:pt>
                <c:pt idx="75">
                  <c:v>-0.117797871362183</c:v>
                </c:pt>
                <c:pt idx="76">
                  <c:v>-0.117797871362183</c:v>
                </c:pt>
                <c:pt idx="77">
                  <c:v>-0.117715305941446</c:v>
                </c:pt>
                <c:pt idx="78">
                  <c:v>-0.117048682584547</c:v>
                </c:pt>
                <c:pt idx="79">
                  <c:v>-0.114116296055994</c:v>
                </c:pt>
                <c:pt idx="80">
                  <c:v>-0.116333413228036</c:v>
                </c:pt>
                <c:pt idx="81">
                  <c:v>-0.114930904356105</c:v>
                </c:pt>
                <c:pt idx="82">
                  <c:v>-0.113367665706296</c:v>
                </c:pt>
                <c:pt idx="83">
                  <c:v>-0.112772805050964</c:v>
                </c:pt>
                <c:pt idx="84">
                  <c:v>-0.110898590905873</c:v>
                </c:pt>
                <c:pt idx="85">
                  <c:v>-0.111181123772906</c:v>
                </c:pt>
                <c:pt idx="86">
                  <c:v>0.888970242097529</c:v>
                </c:pt>
                <c:pt idx="87">
                  <c:v>0.889075957297963</c:v>
                </c:pt>
                <c:pt idx="88">
                  <c:v>-0.110840384775771</c:v>
                </c:pt>
                <c:pt idx="89">
                  <c:v>-0.110689873275079</c:v>
                </c:pt>
                <c:pt idx="90">
                  <c:v>-0.110873139109709</c:v>
                </c:pt>
                <c:pt idx="91">
                  <c:v>-0.111609503542509</c:v>
                </c:pt>
                <c:pt idx="92">
                  <c:v>-0.109734056736503</c:v>
                </c:pt>
                <c:pt idx="93">
                  <c:v>-0.110037073340827</c:v>
                </c:pt>
                <c:pt idx="94">
                  <c:v>-0.109262057315051</c:v>
                </c:pt>
                <c:pt idx="95">
                  <c:v>-0.109297258373525</c:v>
                </c:pt>
                <c:pt idx="96">
                  <c:v>-0.107187394692317</c:v>
                </c:pt>
                <c:pt idx="97">
                  <c:v>-0.105890498280645</c:v>
                </c:pt>
                <c:pt idx="98">
                  <c:v>-0.105724055615771</c:v>
                </c:pt>
                <c:pt idx="99">
                  <c:v>-0.104322354606535</c:v>
                </c:pt>
                <c:pt idx="100">
                  <c:v>-0.102711062778845</c:v>
                </c:pt>
                <c:pt idx="101">
                  <c:v>-0.103965343789877</c:v>
                </c:pt>
                <c:pt idx="102">
                  <c:v>-0.101247172572685</c:v>
                </c:pt>
                <c:pt idx="103">
                  <c:v>-0.102600132071295</c:v>
                </c:pt>
                <c:pt idx="104">
                  <c:v>-0.101064247393395</c:v>
                </c:pt>
                <c:pt idx="105">
                  <c:v>-0.110195668462959</c:v>
                </c:pt>
                <c:pt idx="106">
                  <c:v>-0.114545746749925</c:v>
                </c:pt>
                <c:pt idx="107">
                  <c:v>-0.118968767085469</c:v>
                </c:pt>
                <c:pt idx="108">
                  <c:v>0.878343313073614</c:v>
                </c:pt>
                <c:pt idx="109">
                  <c:v>-0.115635630793092</c:v>
                </c:pt>
                <c:pt idx="110">
                  <c:v>-0.155150515681071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678031"/>
        <c:axId val="1277678991"/>
      </c:scatterChart>
      <c:valAx>
        <c:axId val="127767803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每日喂水总量</a:t>
                </a:r>
                <a:r>
                  <a:rPr lang="en-US" altLang="zh-CN"/>
                  <a:t>(L)</a:t>
                </a:r>
                <a:endParaRPr lang="en-US" altLang="zh-CN"/>
              </a:p>
            </c:rich>
          </c:tx>
          <c:layout/>
          <c:overlay val="0"/>
        </c:title>
        <c:numFmt formatCode="0.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77678991"/>
        <c:crosses val="autoZero"/>
        <c:crossBetween val="midCat"/>
      </c:valAx>
      <c:valAx>
        <c:axId val="127767899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Residuals</a:t>
                </a:r>
                <a:endParaRPr lang="en-US" altLang="zh-C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77678031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2e35427f-29cc-4f1a-8bdc-60e7a110c78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水料比  </a:t>
            </a:r>
            <a:r>
              <a:rPr lang="en-US" altLang="zh-CN"/>
              <a:t>Residual Plot</a:t>
            </a:r>
            <a:endParaRPr lang="en-US" altLang="zh-CN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38100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Sheet1!$D$5:$D$117</c:f>
              <c:numCache>
                <c:formatCode>General</c:formatCode>
                <c:ptCount val="0"/>
              </c:numCache>
            </c:numRef>
          </c:xVal>
          <c:yVal>
            <c:numRef>
              <c:f>Sheet5!$C$27:$C$137</c:f>
              <c:numCache>
                <c:formatCode>General</c:formatCode>
                <c:ptCount val="111"/>
                <c:pt idx="0">
                  <c:v>0.876584928433503</c:v>
                </c:pt>
                <c:pt idx="1">
                  <c:v>-0.128138943329112</c:v>
                </c:pt>
                <c:pt idx="2">
                  <c:v>-0.130531141113009</c:v>
                </c:pt>
                <c:pt idx="3">
                  <c:v>-0.125318873480123</c:v>
                </c:pt>
                <c:pt idx="4">
                  <c:v>-0.127708445112145</c:v>
                </c:pt>
                <c:pt idx="5">
                  <c:v>-0.123820971012848</c:v>
                </c:pt>
                <c:pt idx="6">
                  <c:v>-0.124835772467651</c:v>
                </c:pt>
                <c:pt idx="7">
                  <c:v>-0.127959793024163</c:v>
                </c:pt>
                <c:pt idx="8">
                  <c:v>-0.1246433351021</c:v>
                </c:pt>
                <c:pt idx="9">
                  <c:v>-0.126154295301611</c:v>
                </c:pt>
                <c:pt idx="10">
                  <c:v>-0.125960480829326</c:v>
                </c:pt>
                <c:pt idx="11">
                  <c:v>-0.124893193324883</c:v>
                </c:pt>
                <c:pt idx="12">
                  <c:v>-0.125840413296642</c:v>
                </c:pt>
                <c:pt idx="13">
                  <c:v>-0.128274066167293</c:v>
                </c:pt>
                <c:pt idx="14">
                  <c:v>-0.124192440386759</c:v>
                </c:pt>
                <c:pt idx="15">
                  <c:v>-0.122300492744817</c:v>
                </c:pt>
                <c:pt idx="16">
                  <c:v>-0.12551242006959</c:v>
                </c:pt>
                <c:pt idx="17">
                  <c:v>0.872725894865629</c:v>
                </c:pt>
                <c:pt idx="18">
                  <c:v>-0.123641249443792</c:v>
                </c:pt>
                <c:pt idx="19">
                  <c:v>-0.129159860629271</c:v>
                </c:pt>
                <c:pt idx="20">
                  <c:v>-0.120486323440665</c:v>
                </c:pt>
                <c:pt idx="21">
                  <c:v>-0.11775804136298</c:v>
                </c:pt>
                <c:pt idx="22">
                  <c:v>-0.120584431657413</c:v>
                </c:pt>
                <c:pt idx="23">
                  <c:v>-0.119090325368493</c:v>
                </c:pt>
                <c:pt idx="24">
                  <c:v>-0.118742924070201</c:v>
                </c:pt>
                <c:pt idx="25">
                  <c:v>-0.122092311959465</c:v>
                </c:pt>
                <c:pt idx="26">
                  <c:v>0.874352693784897</c:v>
                </c:pt>
                <c:pt idx="27">
                  <c:v>-0.118886545309872</c:v>
                </c:pt>
                <c:pt idx="28">
                  <c:v>-0.124111562048393</c:v>
                </c:pt>
                <c:pt idx="29">
                  <c:v>-0.122987301850125</c:v>
                </c:pt>
                <c:pt idx="30">
                  <c:v>-0.116210480703675</c:v>
                </c:pt>
                <c:pt idx="31">
                  <c:v>-0.121439051759897</c:v>
                </c:pt>
                <c:pt idx="32">
                  <c:v>0.880058005512205</c:v>
                </c:pt>
                <c:pt idx="33">
                  <c:v>-0.120387606332093</c:v>
                </c:pt>
                <c:pt idx="34">
                  <c:v>-0.116745548334633</c:v>
                </c:pt>
                <c:pt idx="35">
                  <c:v>-0.117701654099007</c:v>
                </c:pt>
                <c:pt idx="36">
                  <c:v>-0.11889669978524</c:v>
                </c:pt>
                <c:pt idx="37">
                  <c:v>-0.121015986465676</c:v>
                </c:pt>
                <c:pt idx="38">
                  <c:v>-0.1206626666097</c:v>
                </c:pt>
                <c:pt idx="39">
                  <c:v>-0.119893078645864</c:v>
                </c:pt>
                <c:pt idx="40">
                  <c:v>-0.119257014891176</c:v>
                </c:pt>
                <c:pt idx="41">
                  <c:v>-0.120498373703997</c:v>
                </c:pt>
                <c:pt idx="42">
                  <c:v>-0.120028178513585</c:v>
                </c:pt>
                <c:pt idx="43">
                  <c:v>-0.118553888902942</c:v>
                </c:pt>
                <c:pt idx="44">
                  <c:v>-0.118411855465383</c:v>
                </c:pt>
                <c:pt idx="45">
                  <c:v>-0.115680420365185</c:v>
                </c:pt>
                <c:pt idx="46">
                  <c:v>-0.115419178957545</c:v>
                </c:pt>
                <c:pt idx="47">
                  <c:v>0.883842645394949</c:v>
                </c:pt>
                <c:pt idx="48">
                  <c:v>-0.117451270087531</c:v>
                </c:pt>
                <c:pt idx="49">
                  <c:v>-0.11540500804783</c:v>
                </c:pt>
                <c:pt idx="50">
                  <c:v>0.883995722068705</c:v>
                </c:pt>
                <c:pt idx="51">
                  <c:v>-0.113744618437152</c:v>
                </c:pt>
                <c:pt idx="52">
                  <c:v>-0.113640965539099</c:v>
                </c:pt>
                <c:pt idx="53">
                  <c:v>-0.114545805746337</c:v>
                </c:pt>
                <c:pt idx="54">
                  <c:v>-0.115364874096932</c:v>
                </c:pt>
                <c:pt idx="55">
                  <c:v>0.883356755724907</c:v>
                </c:pt>
                <c:pt idx="56">
                  <c:v>-0.115254305381767</c:v>
                </c:pt>
                <c:pt idx="57">
                  <c:v>-0.111936623427258</c:v>
                </c:pt>
                <c:pt idx="58">
                  <c:v>0.88795449160383</c:v>
                </c:pt>
                <c:pt idx="59">
                  <c:v>-0.109697711254677</c:v>
                </c:pt>
                <c:pt idx="60">
                  <c:v>0.88489893987024</c:v>
                </c:pt>
                <c:pt idx="61">
                  <c:v>-0.114918100004642</c:v>
                </c:pt>
                <c:pt idx="62">
                  <c:v>-0.11505829147584</c:v>
                </c:pt>
                <c:pt idx="63">
                  <c:v>-0.114317512006741</c:v>
                </c:pt>
                <c:pt idx="64">
                  <c:v>-0.113818077729256</c:v>
                </c:pt>
                <c:pt idx="65">
                  <c:v>-0.111887736267736</c:v>
                </c:pt>
                <c:pt idx="66">
                  <c:v>-0.112366940894857</c:v>
                </c:pt>
                <c:pt idx="67">
                  <c:v>-0.111894997485912</c:v>
                </c:pt>
                <c:pt idx="68">
                  <c:v>0.886976960325376</c:v>
                </c:pt>
                <c:pt idx="69">
                  <c:v>-0.113489354709266</c:v>
                </c:pt>
                <c:pt idx="70">
                  <c:v>-0.112637050267768</c:v>
                </c:pt>
                <c:pt idx="71">
                  <c:v>-0.11200671057198</c:v>
                </c:pt>
                <c:pt idx="72">
                  <c:v>-0.112722714268698</c:v>
                </c:pt>
                <c:pt idx="73">
                  <c:v>-0.115234268764902</c:v>
                </c:pt>
                <c:pt idx="74">
                  <c:v>-0.133803508779431</c:v>
                </c:pt>
                <c:pt idx="75">
                  <c:v>-0.117797871362183</c:v>
                </c:pt>
                <c:pt idx="76">
                  <c:v>-0.117797871362183</c:v>
                </c:pt>
                <c:pt idx="77">
                  <c:v>-0.117715305941446</c:v>
                </c:pt>
                <c:pt idx="78">
                  <c:v>-0.117048682584547</c:v>
                </c:pt>
                <c:pt idx="79">
                  <c:v>-0.114116296055994</c:v>
                </c:pt>
                <c:pt idx="80">
                  <c:v>-0.116333413228036</c:v>
                </c:pt>
                <c:pt idx="81">
                  <c:v>-0.114930904356105</c:v>
                </c:pt>
                <c:pt idx="82">
                  <c:v>-0.113367665706296</c:v>
                </c:pt>
                <c:pt idx="83">
                  <c:v>-0.112772805050964</c:v>
                </c:pt>
                <c:pt idx="84">
                  <c:v>-0.110898590905873</c:v>
                </c:pt>
                <c:pt idx="85">
                  <c:v>-0.111181123772906</c:v>
                </c:pt>
                <c:pt idx="86">
                  <c:v>0.888970242097529</c:v>
                </c:pt>
                <c:pt idx="87">
                  <c:v>0.889075957297963</c:v>
                </c:pt>
                <c:pt idx="88">
                  <c:v>-0.110840384775771</c:v>
                </c:pt>
                <c:pt idx="89">
                  <c:v>-0.110689873275079</c:v>
                </c:pt>
                <c:pt idx="90">
                  <c:v>-0.110873139109709</c:v>
                </c:pt>
                <c:pt idx="91">
                  <c:v>-0.111609503542509</c:v>
                </c:pt>
                <c:pt idx="92">
                  <c:v>-0.109734056736503</c:v>
                </c:pt>
                <c:pt idx="93">
                  <c:v>-0.110037073340827</c:v>
                </c:pt>
                <c:pt idx="94">
                  <c:v>-0.109262057315051</c:v>
                </c:pt>
                <c:pt idx="95">
                  <c:v>-0.109297258373525</c:v>
                </c:pt>
                <c:pt idx="96">
                  <c:v>-0.107187394692317</c:v>
                </c:pt>
                <c:pt idx="97">
                  <c:v>-0.105890498280645</c:v>
                </c:pt>
                <c:pt idx="98">
                  <c:v>-0.105724055615771</c:v>
                </c:pt>
                <c:pt idx="99">
                  <c:v>-0.104322354606535</c:v>
                </c:pt>
                <c:pt idx="100">
                  <c:v>-0.102711062778845</c:v>
                </c:pt>
                <c:pt idx="101">
                  <c:v>-0.103965343789877</c:v>
                </c:pt>
                <c:pt idx="102">
                  <c:v>-0.101247172572685</c:v>
                </c:pt>
                <c:pt idx="103">
                  <c:v>-0.102600132071295</c:v>
                </c:pt>
                <c:pt idx="104">
                  <c:v>-0.101064247393395</c:v>
                </c:pt>
                <c:pt idx="105">
                  <c:v>-0.110195668462959</c:v>
                </c:pt>
                <c:pt idx="106">
                  <c:v>-0.114545746749925</c:v>
                </c:pt>
                <c:pt idx="107">
                  <c:v>-0.118968767085469</c:v>
                </c:pt>
                <c:pt idx="108">
                  <c:v>0.878343313073614</c:v>
                </c:pt>
                <c:pt idx="109">
                  <c:v>-0.115635630793092</c:v>
                </c:pt>
                <c:pt idx="110">
                  <c:v>-0.155150515681071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297023"/>
        <c:axId val="1298845839"/>
      </c:scatterChart>
      <c:valAx>
        <c:axId val="129429702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水料比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98845839"/>
        <c:crosses val="autoZero"/>
        <c:crossBetween val="midCat"/>
      </c:valAx>
      <c:valAx>
        <c:axId val="1298845839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Residuals</a:t>
                </a:r>
                <a:endParaRPr lang="en-US" altLang="zh-C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94297023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96f2815c-ce5e-4519-859c-449ac2fe3fd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每日采食总量</a:t>
            </a:r>
            <a:r>
              <a:rPr lang="en-US" altLang="zh-CN"/>
              <a:t>(Kg) Line Fit  Plot</a:t>
            </a:r>
            <a:endParaRPr lang="en-US" altLang="zh-CN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"事故数"</c:f>
              <c:strCache>
                <c:ptCount val="1"/>
                <c:pt idx="0">
                  <c:v>事故数</c:v>
                </c:pt>
              </c:strCache>
            </c:strRef>
          </c:tx>
          <c:spPr>
            <a:ln w="38100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Sheet1!$B$5:$B$117</c:f>
              <c:numCache>
                <c:formatCode>General</c:formatCode>
                <c:ptCount val="0"/>
              </c:numCache>
            </c:numRef>
          </c:xVal>
          <c:yVal>
            <c:numRef>
              <c:f>Sheet1!$L$5:$L$117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"Predicted 事故数"</c:f>
              <c:strCache>
                <c:ptCount val="1"/>
                <c:pt idx="0">
                  <c:v>Predicted 事故数</c:v>
                </c:pt>
              </c:strCache>
            </c:strRef>
          </c:tx>
          <c:spPr>
            <a:ln w="38100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Sheet1!$B$5:$B$117</c:f>
              <c:numCache>
                <c:formatCode>General</c:formatCode>
                <c:ptCount val="0"/>
              </c:numCache>
            </c:numRef>
          </c:xVal>
          <c:yVal>
            <c:numRef>
              <c:f>Sheet5!$B$27:$B$137</c:f>
              <c:numCache>
                <c:formatCode>General</c:formatCode>
                <c:ptCount val="111"/>
                <c:pt idx="0">
                  <c:v>0.123415071566498</c:v>
                </c:pt>
                <c:pt idx="1">
                  <c:v>0.128138943329112</c:v>
                </c:pt>
                <c:pt idx="2">
                  <c:v>0.130531141113009</c:v>
                </c:pt>
                <c:pt idx="3">
                  <c:v>0.125318873480123</c:v>
                </c:pt>
                <c:pt idx="4">
                  <c:v>0.127708445112145</c:v>
                </c:pt>
                <c:pt idx="5">
                  <c:v>0.123820971012848</c:v>
                </c:pt>
                <c:pt idx="6">
                  <c:v>0.124835772467651</c:v>
                </c:pt>
                <c:pt idx="7">
                  <c:v>0.127959793024163</c:v>
                </c:pt>
                <c:pt idx="8">
                  <c:v>0.1246433351021</c:v>
                </c:pt>
                <c:pt idx="9">
                  <c:v>0.126154295301611</c:v>
                </c:pt>
                <c:pt idx="10">
                  <c:v>0.125960480829326</c:v>
                </c:pt>
                <c:pt idx="11">
                  <c:v>0.124893193324883</c:v>
                </c:pt>
                <c:pt idx="12">
                  <c:v>0.125840413296642</c:v>
                </c:pt>
                <c:pt idx="13">
                  <c:v>0.128274066167293</c:v>
                </c:pt>
                <c:pt idx="14">
                  <c:v>0.124192440386759</c:v>
                </c:pt>
                <c:pt idx="15">
                  <c:v>0.122300492744817</c:v>
                </c:pt>
                <c:pt idx="16">
                  <c:v>0.12551242006959</c:v>
                </c:pt>
                <c:pt idx="17">
                  <c:v>0.127274105134371</c:v>
                </c:pt>
                <c:pt idx="18">
                  <c:v>0.123641249443792</c:v>
                </c:pt>
                <c:pt idx="19">
                  <c:v>0.129159860629271</c:v>
                </c:pt>
                <c:pt idx="20">
                  <c:v>0.120486323440665</c:v>
                </c:pt>
                <c:pt idx="21">
                  <c:v>0.11775804136298</c:v>
                </c:pt>
                <c:pt idx="22">
                  <c:v>0.120584431657413</c:v>
                </c:pt>
                <c:pt idx="23">
                  <c:v>0.119090325368493</c:v>
                </c:pt>
                <c:pt idx="24">
                  <c:v>0.118742924070201</c:v>
                </c:pt>
                <c:pt idx="25">
                  <c:v>0.122092311959465</c:v>
                </c:pt>
                <c:pt idx="26">
                  <c:v>0.125647306215103</c:v>
                </c:pt>
                <c:pt idx="27">
                  <c:v>0.118886545309872</c:v>
                </c:pt>
                <c:pt idx="28">
                  <c:v>0.124111562048393</c:v>
                </c:pt>
                <c:pt idx="29">
                  <c:v>0.122987301850125</c:v>
                </c:pt>
                <c:pt idx="30">
                  <c:v>0.116210480703675</c:v>
                </c:pt>
                <c:pt idx="31">
                  <c:v>0.121439051759897</c:v>
                </c:pt>
                <c:pt idx="32">
                  <c:v>0.119941994487795</c:v>
                </c:pt>
                <c:pt idx="33">
                  <c:v>0.120387606332093</c:v>
                </c:pt>
                <c:pt idx="34">
                  <c:v>0.116745548334633</c:v>
                </c:pt>
                <c:pt idx="35">
                  <c:v>0.117701654099007</c:v>
                </c:pt>
                <c:pt idx="36">
                  <c:v>0.11889669978524</c:v>
                </c:pt>
                <c:pt idx="37">
                  <c:v>0.121015986465676</c:v>
                </c:pt>
                <c:pt idx="38">
                  <c:v>0.1206626666097</c:v>
                </c:pt>
                <c:pt idx="39">
                  <c:v>0.119893078645864</c:v>
                </c:pt>
                <c:pt idx="40">
                  <c:v>0.119257014891176</c:v>
                </c:pt>
                <c:pt idx="41">
                  <c:v>0.120498373703997</c:v>
                </c:pt>
                <c:pt idx="42">
                  <c:v>0.120028178513585</c:v>
                </c:pt>
                <c:pt idx="43">
                  <c:v>0.118553888902942</c:v>
                </c:pt>
                <c:pt idx="44">
                  <c:v>0.118411855465383</c:v>
                </c:pt>
                <c:pt idx="45">
                  <c:v>0.115680420365185</c:v>
                </c:pt>
                <c:pt idx="46">
                  <c:v>0.115419178957545</c:v>
                </c:pt>
                <c:pt idx="47">
                  <c:v>0.116157354605051</c:v>
                </c:pt>
                <c:pt idx="48">
                  <c:v>0.117451270087531</c:v>
                </c:pt>
                <c:pt idx="49">
                  <c:v>0.11540500804783</c:v>
                </c:pt>
                <c:pt idx="50">
                  <c:v>0.116004277931295</c:v>
                </c:pt>
                <c:pt idx="51">
                  <c:v>0.113744618437152</c:v>
                </c:pt>
                <c:pt idx="52">
                  <c:v>0.113640965539099</c:v>
                </c:pt>
                <c:pt idx="53">
                  <c:v>0.114545805746337</c:v>
                </c:pt>
                <c:pt idx="54">
                  <c:v>0.115364874096932</c:v>
                </c:pt>
                <c:pt idx="55">
                  <c:v>0.116643244275093</c:v>
                </c:pt>
                <c:pt idx="56">
                  <c:v>0.115254305381767</c:v>
                </c:pt>
                <c:pt idx="57">
                  <c:v>0.111936623427258</c:v>
                </c:pt>
                <c:pt idx="58">
                  <c:v>0.11204550839617</c:v>
                </c:pt>
                <c:pt idx="59">
                  <c:v>0.109697711254677</c:v>
                </c:pt>
                <c:pt idx="60">
                  <c:v>0.11510106012976</c:v>
                </c:pt>
                <c:pt idx="61">
                  <c:v>0.114918100004642</c:v>
                </c:pt>
                <c:pt idx="62">
                  <c:v>0.11505829147584</c:v>
                </c:pt>
                <c:pt idx="63">
                  <c:v>0.114317512006741</c:v>
                </c:pt>
                <c:pt idx="64">
                  <c:v>0.113818077729256</c:v>
                </c:pt>
                <c:pt idx="65">
                  <c:v>0.111887736267736</c:v>
                </c:pt>
                <c:pt idx="66">
                  <c:v>0.112366940894857</c:v>
                </c:pt>
                <c:pt idx="67">
                  <c:v>0.111894997485912</c:v>
                </c:pt>
                <c:pt idx="68">
                  <c:v>0.113023039674624</c:v>
                </c:pt>
                <c:pt idx="69">
                  <c:v>0.113489354709266</c:v>
                </c:pt>
                <c:pt idx="70">
                  <c:v>0.112637050267768</c:v>
                </c:pt>
                <c:pt idx="71">
                  <c:v>0.11200671057198</c:v>
                </c:pt>
                <c:pt idx="72">
                  <c:v>0.112722714268698</c:v>
                </c:pt>
                <c:pt idx="73">
                  <c:v>0.115234268764902</c:v>
                </c:pt>
                <c:pt idx="74">
                  <c:v>0.133803508779431</c:v>
                </c:pt>
                <c:pt idx="75">
                  <c:v>0.117797871362183</c:v>
                </c:pt>
                <c:pt idx="76">
                  <c:v>0.117797871362183</c:v>
                </c:pt>
                <c:pt idx="77">
                  <c:v>0.117715305941446</c:v>
                </c:pt>
                <c:pt idx="78">
                  <c:v>0.117048682584547</c:v>
                </c:pt>
                <c:pt idx="79">
                  <c:v>0.114116296055994</c:v>
                </c:pt>
                <c:pt idx="80">
                  <c:v>0.116333413228036</c:v>
                </c:pt>
                <c:pt idx="81">
                  <c:v>0.114930904356105</c:v>
                </c:pt>
                <c:pt idx="82">
                  <c:v>0.113367665706296</c:v>
                </c:pt>
                <c:pt idx="83">
                  <c:v>0.112772805050964</c:v>
                </c:pt>
                <c:pt idx="84">
                  <c:v>0.110898590905873</c:v>
                </c:pt>
                <c:pt idx="85">
                  <c:v>0.111181123772906</c:v>
                </c:pt>
                <c:pt idx="86">
                  <c:v>0.111029757902471</c:v>
                </c:pt>
                <c:pt idx="87">
                  <c:v>0.110924042702037</c:v>
                </c:pt>
                <c:pt idx="88">
                  <c:v>0.110840384775771</c:v>
                </c:pt>
                <c:pt idx="89">
                  <c:v>0.110689873275079</c:v>
                </c:pt>
                <c:pt idx="90">
                  <c:v>0.110873139109709</c:v>
                </c:pt>
                <c:pt idx="91">
                  <c:v>0.111609503542509</c:v>
                </c:pt>
                <c:pt idx="92">
                  <c:v>0.109734056736503</c:v>
                </c:pt>
                <c:pt idx="93">
                  <c:v>0.110037073340827</c:v>
                </c:pt>
                <c:pt idx="94">
                  <c:v>0.109262057315051</c:v>
                </c:pt>
                <c:pt idx="95">
                  <c:v>0.109297258373525</c:v>
                </c:pt>
                <c:pt idx="96">
                  <c:v>0.107187394692317</c:v>
                </c:pt>
                <c:pt idx="97">
                  <c:v>0.105890498280645</c:v>
                </c:pt>
                <c:pt idx="98">
                  <c:v>0.105724055615771</c:v>
                </c:pt>
                <c:pt idx="99">
                  <c:v>0.104322354606535</c:v>
                </c:pt>
                <c:pt idx="100">
                  <c:v>0.102711062778845</c:v>
                </c:pt>
                <c:pt idx="101">
                  <c:v>0.103965343789877</c:v>
                </c:pt>
                <c:pt idx="102">
                  <c:v>0.101247172572685</c:v>
                </c:pt>
                <c:pt idx="103">
                  <c:v>0.102600132071295</c:v>
                </c:pt>
                <c:pt idx="104">
                  <c:v>0.101064247393395</c:v>
                </c:pt>
                <c:pt idx="105">
                  <c:v>0.110195668462959</c:v>
                </c:pt>
                <c:pt idx="106">
                  <c:v>0.114545746749925</c:v>
                </c:pt>
                <c:pt idx="107">
                  <c:v>0.118968767085469</c:v>
                </c:pt>
                <c:pt idx="108">
                  <c:v>0.121656686926386</c:v>
                </c:pt>
                <c:pt idx="109">
                  <c:v>0.115635630793092</c:v>
                </c:pt>
                <c:pt idx="110">
                  <c:v>0.155150515681071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827567"/>
        <c:axId val="496337519"/>
      </c:scatterChart>
      <c:valAx>
        <c:axId val="129382756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每日采食总量</a:t>
                </a:r>
                <a:r>
                  <a:rPr lang="en-US" altLang="zh-CN"/>
                  <a:t>(Kg)</a:t>
                </a:r>
                <a:endParaRPr lang="en-US" altLang="zh-CN"/>
              </a:p>
            </c:rich>
          </c:tx>
          <c:layout/>
          <c:overlay val="0"/>
        </c:title>
        <c:numFmt formatCode="0.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96337519"/>
        <c:crosses val="autoZero"/>
        <c:crossBetween val="midCat"/>
      </c:valAx>
      <c:valAx>
        <c:axId val="496337519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事故数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93827567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e43eb0-92c5-4970-8ec4-3bc0ee49ec7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每日喂水总量</a:t>
            </a:r>
            <a:r>
              <a:rPr lang="en-US" altLang="zh-CN"/>
              <a:t>(L) Line Fit  Plot</a:t>
            </a:r>
            <a:endParaRPr lang="en-US" altLang="zh-CN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"事故数"</c:f>
              <c:strCache>
                <c:ptCount val="1"/>
                <c:pt idx="0">
                  <c:v>事故数</c:v>
                </c:pt>
              </c:strCache>
            </c:strRef>
          </c:tx>
          <c:spPr>
            <a:ln w="38100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Sheet1!$C$5:$C$117</c:f>
              <c:numCache>
                <c:formatCode>General</c:formatCode>
                <c:ptCount val="0"/>
              </c:numCache>
            </c:numRef>
          </c:xVal>
          <c:yVal>
            <c:numRef>
              <c:f>Sheet1!$L$5:$L$117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"Predicted 事故数"</c:f>
              <c:strCache>
                <c:ptCount val="1"/>
                <c:pt idx="0">
                  <c:v>Predicted 事故数</c:v>
                </c:pt>
              </c:strCache>
            </c:strRef>
          </c:tx>
          <c:spPr>
            <a:ln w="38100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Sheet1!$C$5:$C$117</c:f>
              <c:numCache>
                <c:formatCode>General</c:formatCode>
                <c:ptCount val="0"/>
              </c:numCache>
            </c:numRef>
          </c:xVal>
          <c:yVal>
            <c:numRef>
              <c:f>Sheet5!$B$27:$B$137</c:f>
              <c:numCache>
                <c:formatCode>General</c:formatCode>
                <c:ptCount val="111"/>
                <c:pt idx="0">
                  <c:v>0.123415071566498</c:v>
                </c:pt>
                <c:pt idx="1">
                  <c:v>0.128138943329112</c:v>
                </c:pt>
                <c:pt idx="2">
                  <c:v>0.130531141113009</c:v>
                </c:pt>
                <c:pt idx="3">
                  <c:v>0.125318873480123</c:v>
                </c:pt>
                <c:pt idx="4">
                  <c:v>0.127708445112145</c:v>
                </c:pt>
                <c:pt idx="5">
                  <c:v>0.123820971012848</c:v>
                </c:pt>
                <c:pt idx="6">
                  <c:v>0.124835772467651</c:v>
                </c:pt>
                <c:pt idx="7">
                  <c:v>0.127959793024163</c:v>
                </c:pt>
                <c:pt idx="8">
                  <c:v>0.1246433351021</c:v>
                </c:pt>
                <c:pt idx="9">
                  <c:v>0.126154295301611</c:v>
                </c:pt>
                <c:pt idx="10">
                  <c:v>0.125960480829326</c:v>
                </c:pt>
                <c:pt idx="11">
                  <c:v>0.124893193324883</c:v>
                </c:pt>
                <c:pt idx="12">
                  <c:v>0.125840413296642</c:v>
                </c:pt>
                <c:pt idx="13">
                  <c:v>0.128274066167293</c:v>
                </c:pt>
                <c:pt idx="14">
                  <c:v>0.124192440386759</c:v>
                </c:pt>
                <c:pt idx="15">
                  <c:v>0.122300492744817</c:v>
                </c:pt>
                <c:pt idx="16">
                  <c:v>0.12551242006959</c:v>
                </c:pt>
                <c:pt idx="17">
                  <c:v>0.127274105134371</c:v>
                </c:pt>
                <c:pt idx="18">
                  <c:v>0.123641249443792</c:v>
                </c:pt>
                <c:pt idx="19">
                  <c:v>0.129159860629271</c:v>
                </c:pt>
                <c:pt idx="20">
                  <c:v>0.120486323440665</c:v>
                </c:pt>
                <c:pt idx="21">
                  <c:v>0.11775804136298</c:v>
                </c:pt>
                <c:pt idx="22">
                  <c:v>0.120584431657413</c:v>
                </c:pt>
                <c:pt idx="23">
                  <c:v>0.119090325368493</c:v>
                </c:pt>
                <c:pt idx="24">
                  <c:v>0.118742924070201</c:v>
                </c:pt>
                <c:pt idx="25">
                  <c:v>0.122092311959465</c:v>
                </c:pt>
                <c:pt idx="26">
                  <c:v>0.125647306215103</c:v>
                </c:pt>
                <c:pt idx="27">
                  <c:v>0.118886545309872</c:v>
                </c:pt>
                <c:pt idx="28">
                  <c:v>0.124111562048393</c:v>
                </c:pt>
                <c:pt idx="29">
                  <c:v>0.122987301850125</c:v>
                </c:pt>
                <c:pt idx="30">
                  <c:v>0.116210480703675</c:v>
                </c:pt>
                <c:pt idx="31">
                  <c:v>0.121439051759897</c:v>
                </c:pt>
                <c:pt idx="32">
                  <c:v>0.119941994487795</c:v>
                </c:pt>
                <c:pt idx="33">
                  <c:v>0.120387606332093</c:v>
                </c:pt>
                <c:pt idx="34">
                  <c:v>0.116745548334633</c:v>
                </c:pt>
                <c:pt idx="35">
                  <c:v>0.117701654099007</c:v>
                </c:pt>
                <c:pt idx="36">
                  <c:v>0.11889669978524</c:v>
                </c:pt>
                <c:pt idx="37">
                  <c:v>0.121015986465676</c:v>
                </c:pt>
                <c:pt idx="38">
                  <c:v>0.1206626666097</c:v>
                </c:pt>
                <c:pt idx="39">
                  <c:v>0.119893078645864</c:v>
                </c:pt>
                <c:pt idx="40">
                  <c:v>0.119257014891176</c:v>
                </c:pt>
                <c:pt idx="41">
                  <c:v>0.120498373703997</c:v>
                </c:pt>
                <c:pt idx="42">
                  <c:v>0.120028178513585</c:v>
                </c:pt>
                <c:pt idx="43">
                  <c:v>0.118553888902942</c:v>
                </c:pt>
                <c:pt idx="44">
                  <c:v>0.118411855465383</c:v>
                </c:pt>
                <c:pt idx="45">
                  <c:v>0.115680420365185</c:v>
                </c:pt>
                <c:pt idx="46">
                  <c:v>0.115419178957545</c:v>
                </c:pt>
                <c:pt idx="47">
                  <c:v>0.116157354605051</c:v>
                </c:pt>
                <c:pt idx="48">
                  <c:v>0.117451270087531</c:v>
                </c:pt>
                <c:pt idx="49">
                  <c:v>0.11540500804783</c:v>
                </c:pt>
                <c:pt idx="50">
                  <c:v>0.116004277931295</c:v>
                </c:pt>
                <c:pt idx="51">
                  <c:v>0.113744618437152</c:v>
                </c:pt>
                <c:pt idx="52">
                  <c:v>0.113640965539099</c:v>
                </c:pt>
                <c:pt idx="53">
                  <c:v>0.114545805746337</c:v>
                </c:pt>
                <c:pt idx="54">
                  <c:v>0.115364874096932</c:v>
                </c:pt>
                <c:pt idx="55">
                  <c:v>0.116643244275093</c:v>
                </c:pt>
                <c:pt idx="56">
                  <c:v>0.115254305381767</c:v>
                </c:pt>
                <c:pt idx="57">
                  <c:v>0.111936623427258</c:v>
                </c:pt>
                <c:pt idx="58">
                  <c:v>0.11204550839617</c:v>
                </c:pt>
                <c:pt idx="59">
                  <c:v>0.109697711254677</c:v>
                </c:pt>
                <c:pt idx="60">
                  <c:v>0.11510106012976</c:v>
                </c:pt>
                <c:pt idx="61">
                  <c:v>0.114918100004642</c:v>
                </c:pt>
                <c:pt idx="62">
                  <c:v>0.11505829147584</c:v>
                </c:pt>
                <c:pt idx="63">
                  <c:v>0.114317512006741</c:v>
                </c:pt>
                <c:pt idx="64">
                  <c:v>0.113818077729256</c:v>
                </c:pt>
                <c:pt idx="65">
                  <c:v>0.111887736267736</c:v>
                </c:pt>
                <c:pt idx="66">
                  <c:v>0.112366940894857</c:v>
                </c:pt>
                <c:pt idx="67">
                  <c:v>0.111894997485912</c:v>
                </c:pt>
                <c:pt idx="68">
                  <c:v>0.113023039674624</c:v>
                </c:pt>
                <c:pt idx="69">
                  <c:v>0.113489354709266</c:v>
                </c:pt>
                <c:pt idx="70">
                  <c:v>0.112637050267768</c:v>
                </c:pt>
                <c:pt idx="71">
                  <c:v>0.11200671057198</c:v>
                </c:pt>
                <c:pt idx="72">
                  <c:v>0.112722714268698</c:v>
                </c:pt>
                <c:pt idx="73">
                  <c:v>0.115234268764902</c:v>
                </c:pt>
                <c:pt idx="74">
                  <c:v>0.133803508779431</c:v>
                </c:pt>
                <c:pt idx="75">
                  <c:v>0.117797871362183</c:v>
                </c:pt>
                <c:pt idx="76">
                  <c:v>0.117797871362183</c:v>
                </c:pt>
                <c:pt idx="77">
                  <c:v>0.117715305941446</c:v>
                </c:pt>
                <c:pt idx="78">
                  <c:v>0.117048682584547</c:v>
                </c:pt>
                <c:pt idx="79">
                  <c:v>0.114116296055994</c:v>
                </c:pt>
                <c:pt idx="80">
                  <c:v>0.116333413228036</c:v>
                </c:pt>
                <c:pt idx="81">
                  <c:v>0.114930904356105</c:v>
                </c:pt>
                <c:pt idx="82">
                  <c:v>0.113367665706296</c:v>
                </c:pt>
                <c:pt idx="83">
                  <c:v>0.112772805050964</c:v>
                </c:pt>
                <c:pt idx="84">
                  <c:v>0.110898590905873</c:v>
                </c:pt>
                <c:pt idx="85">
                  <c:v>0.111181123772906</c:v>
                </c:pt>
                <c:pt idx="86">
                  <c:v>0.111029757902471</c:v>
                </c:pt>
                <c:pt idx="87">
                  <c:v>0.110924042702037</c:v>
                </c:pt>
                <c:pt idx="88">
                  <c:v>0.110840384775771</c:v>
                </c:pt>
                <c:pt idx="89">
                  <c:v>0.110689873275079</c:v>
                </c:pt>
                <c:pt idx="90">
                  <c:v>0.110873139109709</c:v>
                </c:pt>
                <c:pt idx="91">
                  <c:v>0.111609503542509</c:v>
                </c:pt>
                <c:pt idx="92">
                  <c:v>0.109734056736503</c:v>
                </c:pt>
                <c:pt idx="93">
                  <c:v>0.110037073340827</c:v>
                </c:pt>
                <c:pt idx="94">
                  <c:v>0.109262057315051</c:v>
                </c:pt>
                <c:pt idx="95">
                  <c:v>0.109297258373525</c:v>
                </c:pt>
                <c:pt idx="96">
                  <c:v>0.107187394692317</c:v>
                </c:pt>
                <c:pt idx="97">
                  <c:v>0.105890498280645</c:v>
                </c:pt>
                <c:pt idx="98">
                  <c:v>0.105724055615771</c:v>
                </c:pt>
                <c:pt idx="99">
                  <c:v>0.104322354606535</c:v>
                </c:pt>
                <c:pt idx="100">
                  <c:v>0.102711062778845</c:v>
                </c:pt>
                <c:pt idx="101">
                  <c:v>0.103965343789877</c:v>
                </c:pt>
                <c:pt idx="102">
                  <c:v>0.101247172572685</c:v>
                </c:pt>
                <c:pt idx="103">
                  <c:v>0.102600132071295</c:v>
                </c:pt>
                <c:pt idx="104">
                  <c:v>0.101064247393395</c:v>
                </c:pt>
                <c:pt idx="105">
                  <c:v>0.110195668462959</c:v>
                </c:pt>
                <c:pt idx="106">
                  <c:v>0.114545746749925</c:v>
                </c:pt>
                <c:pt idx="107">
                  <c:v>0.118968767085469</c:v>
                </c:pt>
                <c:pt idx="108">
                  <c:v>0.121656686926386</c:v>
                </c:pt>
                <c:pt idx="109">
                  <c:v>0.115635630793092</c:v>
                </c:pt>
                <c:pt idx="110">
                  <c:v>0.155150515681071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46799"/>
        <c:axId val="1314694079"/>
      </c:scatterChart>
      <c:valAx>
        <c:axId val="129884679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每日喂水总量</a:t>
                </a:r>
                <a:r>
                  <a:rPr lang="en-US" altLang="zh-CN"/>
                  <a:t>(L)</a:t>
                </a:r>
                <a:endParaRPr lang="en-US" altLang="zh-CN"/>
              </a:p>
            </c:rich>
          </c:tx>
          <c:layout/>
          <c:overlay val="0"/>
        </c:title>
        <c:numFmt formatCode="0.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14694079"/>
        <c:crosses val="autoZero"/>
        <c:crossBetween val="midCat"/>
      </c:valAx>
      <c:valAx>
        <c:axId val="1314694079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事故数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98846799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e8638d-ce2c-4532-907f-e0f4ffe4e23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水料比 </a:t>
            </a:r>
            <a:r>
              <a:rPr lang="en-US" altLang="zh-CN"/>
              <a:t>Line Fit  Plot</a:t>
            </a:r>
            <a:endParaRPr lang="en-US" altLang="zh-CN"/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"事故数"</c:f>
              <c:strCache>
                <c:ptCount val="1"/>
                <c:pt idx="0">
                  <c:v>事故数</c:v>
                </c:pt>
              </c:strCache>
            </c:strRef>
          </c:tx>
          <c:spPr>
            <a:ln w="38100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Sheet1!$D$5:$D$117</c:f>
              <c:numCache>
                <c:formatCode>General</c:formatCode>
                <c:ptCount val="0"/>
              </c:numCache>
            </c:numRef>
          </c:xVal>
          <c:yVal>
            <c:numRef>
              <c:f>Sheet1!$L$5:$L$117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"Predicted 事故数"</c:f>
              <c:strCache>
                <c:ptCount val="1"/>
                <c:pt idx="0">
                  <c:v>Predicted 事故数</c:v>
                </c:pt>
              </c:strCache>
            </c:strRef>
          </c:tx>
          <c:spPr>
            <a:ln w="38100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Sheet1!$D$5:$D$117</c:f>
              <c:numCache>
                <c:formatCode>General</c:formatCode>
                <c:ptCount val="0"/>
              </c:numCache>
            </c:numRef>
          </c:xVal>
          <c:yVal>
            <c:numRef>
              <c:f>Sheet5!$B$27:$B$137</c:f>
              <c:numCache>
                <c:formatCode>General</c:formatCode>
                <c:ptCount val="111"/>
                <c:pt idx="0">
                  <c:v>0.123415071566498</c:v>
                </c:pt>
                <c:pt idx="1">
                  <c:v>0.128138943329112</c:v>
                </c:pt>
                <c:pt idx="2">
                  <c:v>0.130531141113009</c:v>
                </c:pt>
                <c:pt idx="3">
                  <c:v>0.125318873480123</c:v>
                </c:pt>
                <c:pt idx="4">
                  <c:v>0.127708445112145</c:v>
                </c:pt>
                <c:pt idx="5">
                  <c:v>0.123820971012848</c:v>
                </c:pt>
                <c:pt idx="6">
                  <c:v>0.124835772467651</c:v>
                </c:pt>
                <c:pt idx="7">
                  <c:v>0.127959793024163</c:v>
                </c:pt>
                <c:pt idx="8">
                  <c:v>0.1246433351021</c:v>
                </c:pt>
                <c:pt idx="9">
                  <c:v>0.126154295301611</c:v>
                </c:pt>
                <c:pt idx="10">
                  <c:v>0.125960480829326</c:v>
                </c:pt>
                <c:pt idx="11">
                  <c:v>0.124893193324883</c:v>
                </c:pt>
                <c:pt idx="12">
                  <c:v>0.125840413296642</c:v>
                </c:pt>
                <c:pt idx="13">
                  <c:v>0.128274066167293</c:v>
                </c:pt>
                <c:pt idx="14">
                  <c:v>0.124192440386759</c:v>
                </c:pt>
                <c:pt idx="15">
                  <c:v>0.122300492744817</c:v>
                </c:pt>
                <c:pt idx="16">
                  <c:v>0.12551242006959</c:v>
                </c:pt>
                <c:pt idx="17">
                  <c:v>0.127274105134371</c:v>
                </c:pt>
                <c:pt idx="18">
                  <c:v>0.123641249443792</c:v>
                </c:pt>
                <c:pt idx="19">
                  <c:v>0.129159860629271</c:v>
                </c:pt>
                <c:pt idx="20">
                  <c:v>0.120486323440665</c:v>
                </c:pt>
                <c:pt idx="21">
                  <c:v>0.11775804136298</c:v>
                </c:pt>
                <c:pt idx="22">
                  <c:v>0.120584431657413</c:v>
                </c:pt>
                <c:pt idx="23">
                  <c:v>0.119090325368493</c:v>
                </c:pt>
                <c:pt idx="24">
                  <c:v>0.118742924070201</c:v>
                </c:pt>
                <c:pt idx="25">
                  <c:v>0.122092311959465</c:v>
                </c:pt>
                <c:pt idx="26">
                  <c:v>0.125647306215103</c:v>
                </c:pt>
                <c:pt idx="27">
                  <c:v>0.118886545309872</c:v>
                </c:pt>
                <c:pt idx="28">
                  <c:v>0.124111562048393</c:v>
                </c:pt>
                <c:pt idx="29">
                  <c:v>0.122987301850125</c:v>
                </c:pt>
                <c:pt idx="30">
                  <c:v>0.116210480703675</c:v>
                </c:pt>
                <c:pt idx="31">
                  <c:v>0.121439051759897</c:v>
                </c:pt>
                <c:pt idx="32">
                  <c:v>0.119941994487795</c:v>
                </c:pt>
                <c:pt idx="33">
                  <c:v>0.120387606332093</c:v>
                </c:pt>
                <c:pt idx="34">
                  <c:v>0.116745548334633</c:v>
                </c:pt>
                <c:pt idx="35">
                  <c:v>0.117701654099007</c:v>
                </c:pt>
                <c:pt idx="36">
                  <c:v>0.11889669978524</c:v>
                </c:pt>
                <c:pt idx="37">
                  <c:v>0.121015986465676</c:v>
                </c:pt>
                <c:pt idx="38">
                  <c:v>0.1206626666097</c:v>
                </c:pt>
                <c:pt idx="39">
                  <c:v>0.119893078645864</c:v>
                </c:pt>
                <c:pt idx="40">
                  <c:v>0.119257014891176</c:v>
                </c:pt>
                <c:pt idx="41">
                  <c:v>0.120498373703997</c:v>
                </c:pt>
                <c:pt idx="42">
                  <c:v>0.120028178513585</c:v>
                </c:pt>
                <c:pt idx="43">
                  <c:v>0.118553888902942</c:v>
                </c:pt>
                <c:pt idx="44">
                  <c:v>0.118411855465383</c:v>
                </c:pt>
                <c:pt idx="45">
                  <c:v>0.115680420365185</c:v>
                </c:pt>
                <c:pt idx="46">
                  <c:v>0.115419178957545</c:v>
                </c:pt>
                <c:pt idx="47">
                  <c:v>0.116157354605051</c:v>
                </c:pt>
                <c:pt idx="48">
                  <c:v>0.117451270087531</c:v>
                </c:pt>
                <c:pt idx="49">
                  <c:v>0.11540500804783</c:v>
                </c:pt>
                <c:pt idx="50">
                  <c:v>0.116004277931295</c:v>
                </c:pt>
                <c:pt idx="51">
                  <c:v>0.113744618437152</c:v>
                </c:pt>
                <c:pt idx="52">
                  <c:v>0.113640965539099</c:v>
                </c:pt>
                <c:pt idx="53">
                  <c:v>0.114545805746337</c:v>
                </c:pt>
                <c:pt idx="54">
                  <c:v>0.115364874096932</c:v>
                </c:pt>
                <c:pt idx="55">
                  <c:v>0.116643244275093</c:v>
                </c:pt>
                <c:pt idx="56">
                  <c:v>0.115254305381767</c:v>
                </c:pt>
                <c:pt idx="57">
                  <c:v>0.111936623427258</c:v>
                </c:pt>
                <c:pt idx="58">
                  <c:v>0.11204550839617</c:v>
                </c:pt>
                <c:pt idx="59">
                  <c:v>0.109697711254677</c:v>
                </c:pt>
                <c:pt idx="60">
                  <c:v>0.11510106012976</c:v>
                </c:pt>
                <c:pt idx="61">
                  <c:v>0.114918100004642</c:v>
                </c:pt>
                <c:pt idx="62">
                  <c:v>0.11505829147584</c:v>
                </c:pt>
                <c:pt idx="63">
                  <c:v>0.114317512006741</c:v>
                </c:pt>
                <c:pt idx="64">
                  <c:v>0.113818077729256</c:v>
                </c:pt>
                <c:pt idx="65">
                  <c:v>0.111887736267736</c:v>
                </c:pt>
                <c:pt idx="66">
                  <c:v>0.112366940894857</c:v>
                </c:pt>
                <c:pt idx="67">
                  <c:v>0.111894997485912</c:v>
                </c:pt>
                <c:pt idx="68">
                  <c:v>0.113023039674624</c:v>
                </c:pt>
                <c:pt idx="69">
                  <c:v>0.113489354709266</c:v>
                </c:pt>
                <c:pt idx="70">
                  <c:v>0.112637050267768</c:v>
                </c:pt>
                <c:pt idx="71">
                  <c:v>0.11200671057198</c:v>
                </c:pt>
                <c:pt idx="72">
                  <c:v>0.112722714268698</c:v>
                </c:pt>
                <c:pt idx="73">
                  <c:v>0.115234268764902</c:v>
                </c:pt>
                <c:pt idx="74">
                  <c:v>0.133803508779431</c:v>
                </c:pt>
                <c:pt idx="75">
                  <c:v>0.117797871362183</c:v>
                </c:pt>
                <c:pt idx="76">
                  <c:v>0.117797871362183</c:v>
                </c:pt>
                <c:pt idx="77">
                  <c:v>0.117715305941446</c:v>
                </c:pt>
                <c:pt idx="78">
                  <c:v>0.117048682584547</c:v>
                </c:pt>
                <c:pt idx="79">
                  <c:v>0.114116296055994</c:v>
                </c:pt>
                <c:pt idx="80">
                  <c:v>0.116333413228036</c:v>
                </c:pt>
                <c:pt idx="81">
                  <c:v>0.114930904356105</c:v>
                </c:pt>
                <c:pt idx="82">
                  <c:v>0.113367665706296</c:v>
                </c:pt>
                <c:pt idx="83">
                  <c:v>0.112772805050964</c:v>
                </c:pt>
                <c:pt idx="84">
                  <c:v>0.110898590905873</c:v>
                </c:pt>
                <c:pt idx="85">
                  <c:v>0.111181123772906</c:v>
                </c:pt>
                <c:pt idx="86">
                  <c:v>0.111029757902471</c:v>
                </c:pt>
                <c:pt idx="87">
                  <c:v>0.110924042702037</c:v>
                </c:pt>
                <c:pt idx="88">
                  <c:v>0.110840384775771</c:v>
                </c:pt>
                <c:pt idx="89">
                  <c:v>0.110689873275079</c:v>
                </c:pt>
                <c:pt idx="90">
                  <c:v>0.110873139109709</c:v>
                </c:pt>
                <c:pt idx="91">
                  <c:v>0.111609503542509</c:v>
                </c:pt>
                <c:pt idx="92">
                  <c:v>0.109734056736503</c:v>
                </c:pt>
                <c:pt idx="93">
                  <c:v>0.110037073340827</c:v>
                </c:pt>
                <c:pt idx="94">
                  <c:v>0.109262057315051</c:v>
                </c:pt>
                <c:pt idx="95">
                  <c:v>0.109297258373525</c:v>
                </c:pt>
                <c:pt idx="96">
                  <c:v>0.107187394692317</c:v>
                </c:pt>
                <c:pt idx="97">
                  <c:v>0.105890498280645</c:v>
                </c:pt>
                <c:pt idx="98">
                  <c:v>0.105724055615771</c:v>
                </c:pt>
                <c:pt idx="99">
                  <c:v>0.104322354606535</c:v>
                </c:pt>
                <c:pt idx="100">
                  <c:v>0.102711062778845</c:v>
                </c:pt>
                <c:pt idx="101">
                  <c:v>0.103965343789877</c:v>
                </c:pt>
                <c:pt idx="102">
                  <c:v>0.101247172572685</c:v>
                </c:pt>
                <c:pt idx="103">
                  <c:v>0.102600132071295</c:v>
                </c:pt>
                <c:pt idx="104">
                  <c:v>0.101064247393395</c:v>
                </c:pt>
                <c:pt idx="105">
                  <c:v>0.110195668462959</c:v>
                </c:pt>
                <c:pt idx="106">
                  <c:v>0.114545746749925</c:v>
                </c:pt>
                <c:pt idx="107">
                  <c:v>0.118968767085469</c:v>
                </c:pt>
                <c:pt idx="108">
                  <c:v>0.121656686926386</c:v>
                </c:pt>
                <c:pt idx="109">
                  <c:v>0.115635630793092</c:v>
                </c:pt>
                <c:pt idx="110">
                  <c:v>0.155150515681071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46799"/>
        <c:axId val="1307555423"/>
      </c:scatterChart>
      <c:valAx>
        <c:axId val="129884679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水料比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07555423"/>
        <c:crosses val="autoZero"/>
        <c:crossBetween val="midCat"/>
      </c:valAx>
      <c:valAx>
        <c:axId val="130755542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事故数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98846799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f43b24-ae4c-4d7d-a268-2225459f07d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247650</xdr:colOff>
      <xdr:row>0</xdr:row>
      <xdr:rowOff>171450</xdr:rowOff>
    </xdr:from>
    <xdr:to>
      <xdr:col>15</xdr:col>
      <xdr:colOff>247650</xdr:colOff>
      <xdr:row>10</xdr:row>
      <xdr:rowOff>171450</xdr:rowOff>
    </xdr:to>
    <xdr:graphicFrame>
      <xdr:nvGraphicFramePr>
        <xdr:cNvPr id="2" name="Chart 1"/>
        <xdr:cNvGraphicFramePr/>
      </xdr:nvGraphicFramePr>
      <xdr:xfrm>
        <a:off x="7194550" y="171450"/>
        <a:ext cx="3771900" cy="1806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63500</xdr:colOff>
      <xdr:row>2</xdr:row>
      <xdr:rowOff>44450</xdr:rowOff>
    </xdr:from>
    <xdr:to>
      <xdr:col>23</xdr:col>
      <xdr:colOff>63500</xdr:colOff>
      <xdr:row>12</xdr:row>
      <xdr:rowOff>44450</xdr:rowOff>
    </xdr:to>
    <xdr:graphicFrame>
      <xdr:nvGraphicFramePr>
        <xdr:cNvPr id="3" name="Chart 2"/>
        <xdr:cNvGraphicFramePr/>
      </xdr:nvGraphicFramePr>
      <xdr:xfrm>
        <a:off x="12039600" y="409575"/>
        <a:ext cx="3771900" cy="1797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241300</xdr:colOff>
      <xdr:row>15</xdr:row>
      <xdr:rowOff>76200</xdr:rowOff>
    </xdr:from>
    <xdr:to>
      <xdr:col>15</xdr:col>
      <xdr:colOff>241300</xdr:colOff>
      <xdr:row>25</xdr:row>
      <xdr:rowOff>82550</xdr:rowOff>
    </xdr:to>
    <xdr:graphicFrame>
      <xdr:nvGraphicFramePr>
        <xdr:cNvPr id="4" name="Chart 3"/>
        <xdr:cNvGraphicFramePr/>
      </xdr:nvGraphicFramePr>
      <xdr:xfrm>
        <a:off x="7188200" y="2790825"/>
        <a:ext cx="3771900" cy="180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203200</xdr:colOff>
      <xdr:row>17</xdr:row>
      <xdr:rowOff>19050</xdr:rowOff>
    </xdr:from>
    <xdr:to>
      <xdr:col>23</xdr:col>
      <xdr:colOff>203200</xdr:colOff>
      <xdr:row>27</xdr:row>
      <xdr:rowOff>31750</xdr:rowOff>
    </xdr:to>
    <xdr:graphicFrame>
      <xdr:nvGraphicFramePr>
        <xdr:cNvPr id="5" name="Chart 4"/>
        <xdr:cNvGraphicFramePr/>
      </xdr:nvGraphicFramePr>
      <xdr:xfrm>
        <a:off x="12179300" y="3089275"/>
        <a:ext cx="3771900" cy="1809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38100</xdr:colOff>
      <xdr:row>28</xdr:row>
      <xdr:rowOff>82550</xdr:rowOff>
    </xdr:from>
    <xdr:to>
      <xdr:col>23</xdr:col>
      <xdr:colOff>38100</xdr:colOff>
      <xdr:row>38</xdr:row>
      <xdr:rowOff>101600</xdr:rowOff>
    </xdr:to>
    <xdr:graphicFrame>
      <xdr:nvGraphicFramePr>
        <xdr:cNvPr id="6" name="Chart 5"/>
        <xdr:cNvGraphicFramePr/>
      </xdr:nvGraphicFramePr>
      <xdr:xfrm>
        <a:off x="12014200" y="5127625"/>
        <a:ext cx="3771900" cy="1797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146050</xdr:colOff>
      <xdr:row>27</xdr:row>
      <xdr:rowOff>57150</xdr:rowOff>
    </xdr:from>
    <xdr:to>
      <xdr:col>15</xdr:col>
      <xdr:colOff>146050</xdr:colOff>
      <xdr:row>37</xdr:row>
      <xdr:rowOff>76200</xdr:rowOff>
    </xdr:to>
    <xdr:graphicFrame>
      <xdr:nvGraphicFramePr>
        <xdr:cNvPr id="7" name="Chart 6"/>
        <xdr:cNvGraphicFramePr/>
      </xdr:nvGraphicFramePr>
      <xdr:xfrm>
        <a:off x="7092950" y="4924425"/>
        <a:ext cx="3771900" cy="1797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247650</xdr:colOff>
      <xdr:row>0</xdr:row>
      <xdr:rowOff>171450</xdr:rowOff>
    </xdr:from>
    <xdr:to>
      <xdr:col>15</xdr:col>
      <xdr:colOff>247650</xdr:colOff>
      <xdr:row>10</xdr:row>
      <xdr:rowOff>171450</xdr:rowOff>
    </xdr:to>
    <xdr:graphicFrame>
      <xdr:nvGraphicFramePr>
        <xdr:cNvPr id="2" name="Chart 1"/>
        <xdr:cNvGraphicFramePr/>
      </xdr:nvGraphicFramePr>
      <xdr:xfrm>
        <a:off x="6451600" y="171450"/>
        <a:ext cx="3771900" cy="1806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2</xdr:row>
      <xdr:rowOff>171450</xdr:rowOff>
    </xdr:from>
    <xdr:to>
      <xdr:col>16</xdr:col>
      <xdr:colOff>247650</xdr:colOff>
      <xdr:row>12</xdr:row>
      <xdr:rowOff>171450</xdr:rowOff>
    </xdr:to>
    <xdr:graphicFrame>
      <xdr:nvGraphicFramePr>
        <xdr:cNvPr id="3" name="Chart 2"/>
        <xdr:cNvGraphicFramePr/>
      </xdr:nvGraphicFramePr>
      <xdr:xfrm>
        <a:off x="7080250" y="536575"/>
        <a:ext cx="3771900" cy="1797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247650</xdr:colOff>
      <xdr:row>4</xdr:row>
      <xdr:rowOff>171450</xdr:rowOff>
    </xdr:from>
    <xdr:to>
      <xdr:col>17</xdr:col>
      <xdr:colOff>247650</xdr:colOff>
      <xdr:row>14</xdr:row>
      <xdr:rowOff>171450</xdr:rowOff>
    </xdr:to>
    <xdr:graphicFrame>
      <xdr:nvGraphicFramePr>
        <xdr:cNvPr id="4" name="Chart 3"/>
        <xdr:cNvGraphicFramePr/>
      </xdr:nvGraphicFramePr>
      <xdr:xfrm>
        <a:off x="7708900" y="892175"/>
        <a:ext cx="3771900" cy="1806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247650</xdr:colOff>
      <xdr:row>6</xdr:row>
      <xdr:rowOff>171450</xdr:rowOff>
    </xdr:from>
    <xdr:to>
      <xdr:col>18</xdr:col>
      <xdr:colOff>247650</xdr:colOff>
      <xdr:row>16</xdr:row>
      <xdr:rowOff>171450</xdr:rowOff>
    </xdr:to>
    <xdr:graphicFrame>
      <xdr:nvGraphicFramePr>
        <xdr:cNvPr id="5" name="Chart 4"/>
        <xdr:cNvGraphicFramePr/>
      </xdr:nvGraphicFramePr>
      <xdr:xfrm>
        <a:off x="8337550" y="1247775"/>
        <a:ext cx="3771900" cy="1816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247650</xdr:colOff>
      <xdr:row>8</xdr:row>
      <xdr:rowOff>171450</xdr:rowOff>
    </xdr:from>
    <xdr:to>
      <xdr:col>19</xdr:col>
      <xdr:colOff>247650</xdr:colOff>
      <xdr:row>18</xdr:row>
      <xdr:rowOff>171450</xdr:rowOff>
    </xdr:to>
    <xdr:graphicFrame>
      <xdr:nvGraphicFramePr>
        <xdr:cNvPr id="6" name="Chart 5"/>
        <xdr:cNvGraphicFramePr/>
      </xdr:nvGraphicFramePr>
      <xdr:xfrm>
        <a:off x="8966200" y="1612900"/>
        <a:ext cx="3771900" cy="1806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247650</xdr:colOff>
      <xdr:row>10</xdr:row>
      <xdr:rowOff>171450</xdr:rowOff>
    </xdr:from>
    <xdr:to>
      <xdr:col>20</xdr:col>
      <xdr:colOff>247650</xdr:colOff>
      <xdr:row>20</xdr:row>
      <xdr:rowOff>171450</xdr:rowOff>
    </xdr:to>
    <xdr:graphicFrame>
      <xdr:nvGraphicFramePr>
        <xdr:cNvPr id="7" name="Chart 6"/>
        <xdr:cNvGraphicFramePr/>
      </xdr:nvGraphicFramePr>
      <xdr:xfrm>
        <a:off x="9594850" y="1978025"/>
        <a:ext cx="3771900" cy="1806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37"/>
  <sheetViews>
    <sheetView workbookViewId="0">
      <selection activeCell="N22" sqref="N22"/>
    </sheetView>
  </sheetViews>
  <sheetFormatPr defaultColWidth="9" defaultRowHeight="14"/>
  <cols>
    <col min="1" max="1" width="18.6363636363636" customWidth="1"/>
    <col min="2" max="2" width="17.8181818181818" customWidth="1"/>
  </cols>
  <sheetData>
    <row r="1" spans="1:9">
      <c r="A1" t="s">
        <v>0</v>
      </c>
    </row>
    <row r="2" ht="14.75"/>
    <row r="3" spans="1:9">
      <c r="A3" s="22" t="s">
        <v>1</v>
      </c>
      <c r="B3" s="22"/>
    </row>
    <row r="4" spans="1:9">
      <c r="A4" s="23" t="s">
        <v>2</v>
      </c>
      <c r="B4" s="23">
        <v>0.0708710448212983</v>
      </c>
    </row>
    <row r="5" spans="1:9">
      <c r="A5" s="23" t="s">
        <v>3</v>
      </c>
      <c r="B5" s="23">
        <v>0.00502270499406248</v>
      </c>
    </row>
    <row r="6" spans="1:9">
      <c r="A6" s="23" t="s">
        <v>4</v>
      </c>
      <c r="B6" s="23">
        <v>-0.0228738546790012</v>
      </c>
    </row>
    <row r="7" spans="1:9">
      <c r="A7" s="23" t="s">
        <v>5</v>
      </c>
      <c r="B7" s="23">
        <v>0.488796365012244</v>
      </c>
    </row>
    <row r="8" ht="14.75" spans="1:9">
      <c r="A8" s="24" t="s">
        <v>6</v>
      </c>
      <c r="B8" s="24">
        <v>111</v>
      </c>
    </row>
    <row r="10" ht="14.75" spans="1:9">
      <c r="A10" t="s">
        <v>7</v>
      </c>
    </row>
    <row r="11" spans="1:9">
      <c r="A11" s="25"/>
      <c r="B11" s="25" t="s">
        <v>8</v>
      </c>
      <c r="C11" s="25" t="s">
        <v>9</v>
      </c>
      <c r="D11" s="25" t="s">
        <v>10</v>
      </c>
      <c r="E11" s="25" t="s">
        <v>11</v>
      </c>
      <c r="F11" s="25" t="s">
        <v>12</v>
      </c>
    </row>
    <row r="12" spans="1:9">
      <c r="A12" s="23" t="s">
        <v>13</v>
      </c>
      <c r="B12" s="23">
        <v>3</v>
      </c>
      <c r="C12" s="23">
        <v>0.129051843631228</v>
      </c>
      <c r="D12" s="23">
        <v>0.0430172812104092</v>
      </c>
      <c r="E12" s="23">
        <v>0.180047470115546</v>
      </c>
      <c r="F12" s="23">
        <v>0.909730805324658</v>
      </c>
    </row>
    <row r="13" spans="1:9">
      <c r="A13" s="23" t="s">
        <v>14</v>
      </c>
      <c r="B13" s="23">
        <v>107</v>
      </c>
      <c r="C13" s="23">
        <v>25.5646418500626</v>
      </c>
      <c r="D13" s="23">
        <v>0.238921886449183</v>
      </c>
      <c r="E13" s="23"/>
      <c r="F13" s="23"/>
    </row>
    <row r="14" ht="14.75" spans="1:9">
      <c r="A14" s="24" t="s">
        <v>15</v>
      </c>
      <c r="B14" s="24">
        <v>110</v>
      </c>
      <c r="C14" s="24">
        <v>25.6936936936938</v>
      </c>
      <c r="D14" s="24"/>
      <c r="E14" s="24"/>
      <c r="F14" s="24"/>
    </row>
    <row r="15" ht="14.75"/>
    <row r="16" spans="1:9">
      <c r="A16" s="25"/>
      <c r="B16" s="25" t="s">
        <v>16</v>
      </c>
      <c r="C16" s="25" t="s">
        <v>5</v>
      </c>
      <c r="D16" s="25" t="s">
        <v>17</v>
      </c>
      <c r="E16" s="25" t="s">
        <v>18</v>
      </c>
      <c r="F16" s="25" t="s">
        <v>19</v>
      </c>
      <c r="G16" s="25" t="s">
        <v>20</v>
      </c>
      <c r="H16" s="25" t="s">
        <v>21</v>
      </c>
      <c r="I16" s="25" t="s">
        <v>22</v>
      </c>
    </row>
    <row r="17" spans="1:9">
      <c r="A17" s="23" t="s">
        <v>23</v>
      </c>
      <c r="B17" s="23">
        <v>-0.0836778173373573</v>
      </c>
      <c r="C17" s="23">
        <v>0.506937058586985</v>
      </c>
      <c r="D17" s="23">
        <v>-0.165065496633048</v>
      </c>
      <c r="E17" s="23">
        <v>0.869203879548725</v>
      </c>
      <c r="F17" s="23">
        <v>-1.08862141200598</v>
      </c>
      <c r="G17" s="23">
        <v>0.921265777331262</v>
      </c>
      <c r="H17" s="23">
        <v>-1.08862141200598</v>
      </c>
      <c r="I17" s="23">
        <v>0.921265777331262</v>
      </c>
    </row>
    <row r="18" spans="1:9">
      <c r="A18" s="23" t="s">
        <v>24</v>
      </c>
      <c r="B18" s="23">
        <v>5.83673481778892e-5</v>
      </c>
      <c r="C18" s="23">
        <v>0.00103211708069071</v>
      </c>
      <c r="D18" s="23">
        <v>0.0565510921869722</v>
      </c>
      <c r="E18" s="23">
        <v>0.955008261515329</v>
      </c>
      <c r="F18" s="23">
        <v>-0.00198768438865766</v>
      </c>
      <c r="G18" s="23">
        <v>0.00210441908501344</v>
      </c>
      <c r="H18" s="23">
        <v>-0.00198768438865766</v>
      </c>
      <c r="I18" s="23">
        <v>0.00210441908501344</v>
      </c>
    </row>
    <row r="19" spans="1:9">
      <c r="A19" s="23" t="s">
        <v>25</v>
      </c>
      <c r="B19" s="23">
        <v>1.1355893094465e-5</v>
      </c>
      <c r="C19" s="23">
        <v>0.000349103011718018</v>
      </c>
      <c r="D19" s="23">
        <v>0.0325287743539649</v>
      </c>
      <c r="E19" s="23">
        <v>0.974110970523289</v>
      </c>
      <c r="F19" s="23">
        <v>-0.000680700111813582</v>
      </c>
      <c r="G19" s="23">
        <v>0.000703411898002512</v>
      </c>
      <c r="H19" s="23">
        <v>-0.000680700111813582</v>
      </c>
      <c r="I19" s="23">
        <v>0.000703411898002512</v>
      </c>
    </row>
    <row r="20" ht="14.75" spans="1:9">
      <c r="A20" s="24" t="s">
        <v>26</v>
      </c>
      <c r="B20" s="24">
        <v>0.0376900163024024</v>
      </c>
      <c r="C20" s="24">
        <v>0.132319998610005</v>
      </c>
      <c r="D20" s="24">
        <v>0.284839908542386</v>
      </c>
      <c r="E20" s="24">
        <v>0.776317366133708</v>
      </c>
      <c r="F20" s="24">
        <v>-0.224618948483741</v>
      </c>
      <c r="G20" s="24">
        <v>0.299998981088546</v>
      </c>
      <c r="H20" s="24">
        <v>-0.224618948483741</v>
      </c>
      <c r="I20" s="24">
        <v>0.299998981088546</v>
      </c>
    </row>
    <row r="24" spans="1:9">
      <c r="A24" t="s">
        <v>27</v>
      </c>
    </row>
    <row r="25" ht="14.75"/>
    <row r="26" spans="1:9">
      <c r="A26" s="25" t="s">
        <v>28</v>
      </c>
      <c r="B26" s="25" t="s">
        <v>29</v>
      </c>
      <c r="C26" s="25" t="s">
        <v>30</v>
      </c>
      <c r="D26" s="25" t="s">
        <v>31</v>
      </c>
    </row>
    <row r="27" spans="1:9">
      <c r="A27" s="23">
        <v>1</v>
      </c>
      <c r="B27" s="23">
        <v>0.178749828430456</v>
      </c>
      <c r="C27" s="23">
        <v>3.82125017156954</v>
      </c>
      <c r="D27" s="23">
        <v>7.92650900603537</v>
      </c>
    </row>
    <row r="28" spans="1:9">
      <c r="A28" s="23">
        <v>2</v>
      </c>
      <c r="B28" s="23">
        <v>0.200892234601891</v>
      </c>
      <c r="C28" s="23">
        <v>-0.200892234601891</v>
      </c>
      <c r="D28" s="23">
        <v>-0.416715481928368</v>
      </c>
    </row>
    <row r="29" spans="1:9">
      <c r="A29" s="23">
        <v>3</v>
      </c>
      <c r="B29" s="23">
        <v>0.212226709002419</v>
      </c>
      <c r="C29" s="23">
        <v>-0.212226709002419</v>
      </c>
      <c r="D29" s="23">
        <v>-0.440226848465659</v>
      </c>
    </row>
    <row r="30" spans="1:9">
      <c r="A30" s="23">
        <v>4</v>
      </c>
      <c r="B30" s="23">
        <v>0.188916706822774</v>
      </c>
      <c r="C30" s="23">
        <v>-0.188916706822774</v>
      </c>
      <c r="D30" s="23">
        <v>-0.391874363307178</v>
      </c>
    </row>
    <row r="31" spans="1:9">
      <c r="A31" s="23">
        <v>5</v>
      </c>
      <c r="B31" s="23">
        <v>0.199067175040216</v>
      </c>
      <c r="C31" s="23">
        <v>-0.199067175040216</v>
      </c>
      <c r="D31" s="23">
        <v>-0.412929718002258</v>
      </c>
    </row>
    <row r="32" spans="1:9">
      <c r="A32" s="23">
        <v>6</v>
      </c>
      <c r="B32" s="23">
        <v>0.181805216995474</v>
      </c>
      <c r="C32" s="23">
        <v>-0.181805216995474</v>
      </c>
      <c r="D32" s="23">
        <v>-0.377122832883493</v>
      </c>
    </row>
    <row r="33" spans="1:4">
      <c r="A33" s="23">
        <v>7</v>
      </c>
      <c r="B33" s="23">
        <v>0.18573751804006</v>
      </c>
      <c r="C33" s="23">
        <v>-0.18573751804006</v>
      </c>
      <c r="D33" s="23">
        <v>-0.385279697324418</v>
      </c>
    </row>
    <row r="34" spans="1:4">
      <c r="A34" s="23">
        <v>8</v>
      </c>
      <c r="B34" s="23">
        <v>0.199833245755758</v>
      </c>
      <c r="C34" s="23">
        <v>-0.199833245755758</v>
      </c>
      <c r="D34" s="23">
        <v>-0.414518796485312</v>
      </c>
    </row>
    <row r="35" spans="1:4">
      <c r="A35" s="23">
        <v>9</v>
      </c>
      <c r="B35" s="23">
        <v>0.185444510417469</v>
      </c>
      <c r="C35" s="23">
        <v>-0.185444510417469</v>
      </c>
      <c r="D35" s="23">
        <v>-0.384671904729055</v>
      </c>
    </row>
    <row r="36" spans="1:4">
      <c r="A36" s="23">
        <v>10</v>
      </c>
      <c r="B36" s="23">
        <v>0.191899748103205</v>
      </c>
      <c r="C36" s="23">
        <v>-0.191899748103205</v>
      </c>
      <c r="D36" s="23">
        <v>-0.398062155917731</v>
      </c>
    </row>
    <row r="37" spans="1:4">
      <c r="A37" s="23">
        <v>11</v>
      </c>
      <c r="B37" s="23">
        <v>0.190825845765594</v>
      </c>
      <c r="C37" s="23">
        <v>-0.190825845765594</v>
      </c>
      <c r="D37" s="23">
        <v>-0.39583453506893</v>
      </c>
    </row>
    <row r="38" spans="1:4">
      <c r="A38" s="23">
        <v>12</v>
      </c>
      <c r="B38" s="23">
        <v>0.185850570109558</v>
      </c>
      <c r="C38" s="23">
        <v>-0.185850570109558</v>
      </c>
      <c r="D38" s="23">
        <v>-0.385514203888184</v>
      </c>
    </row>
    <row r="39" spans="1:4">
      <c r="A39" s="23">
        <v>13</v>
      </c>
      <c r="B39" s="23">
        <v>0.190135165661152</v>
      </c>
      <c r="C39" s="23">
        <v>-0.190135165661152</v>
      </c>
      <c r="D39" s="23">
        <v>-0.394401841101683</v>
      </c>
    </row>
    <row r="40" spans="1:4">
      <c r="A40" s="23">
        <v>14</v>
      </c>
      <c r="B40" s="23">
        <v>0.201527086166311</v>
      </c>
      <c r="C40" s="23">
        <v>-0.201527086166311</v>
      </c>
      <c r="D40" s="23">
        <v>-0.41803236944343</v>
      </c>
    </row>
    <row r="41" spans="1:4">
      <c r="A41" s="23">
        <v>15</v>
      </c>
      <c r="B41" s="23">
        <v>0.183098671412119</v>
      </c>
      <c r="C41" s="23">
        <v>-0.183098671412119</v>
      </c>
      <c r="D41" s="23">
        <v>-0.379805875767916</v>
      </c>
    </row>
    <row r="42" spans="1:4">
      <c r="A42" s="23">
        <v>16</v>
      </c>
      <c r="B42" s="23">
        <v>0.1746542717107</v>
      </c>
      <c r="C42" s="23">
        <v>-0.1746542717107</v>
      </c>
      <c r="D42" s="23">
        <v>-0.362289459077415</v>
      </c>
    </row>
    <row r="43" spans="1:4">
      <c r="A43" s="23">
        <v>17</v>
      </c>
      <c r="B43" s="23">
        <v>0.188785455743524</v>
      </c>
      <c r="C43" s="23">
        <v>-0.188785455743524</v>
      </c>
      <c r="D43" s="23">
        <v>-0.391602106109922</v>
      </c>
    </row>
    <row r="44" spans="1:4">
      <c r="A44" s="23">
        <v>18</v>
      </c>
      <c r="B44" s="23">
        <v>0.196815883452676</v>
      </c>
      <c r="C44" s="23">
        <v>0.803184116547324</v>
      </c>
      <c r="D44" s="23">
        <v>1.6660636826879</v>
      </c>
    </row>
    <row r="45" spans="1:4">
      <c r="A45" s="23">
        <v>19</v>
      </c>
      <c r="B45" s="23">
        <v>0.181319234741293</v>
      </c>
      <c r="C45" s="23">
        <v>-0.181319234741293</v>
      </c>
      <c r="D45" s="23">
        <v>-0.376114748476143</v>
      </c>
    </row>
    <row r="46" spans="1:4">
      <c r="A46" s="23">
        <v>20</v>
      </c>
      <c r="B46" s="23">
        <v>0.205936316678731</v>
      </c>
      <c r="C46" s="23">
        <v>-0.205936316678731</v>
      </c>
      <c r="D46" s="23">
        <v>-0.4271785398843</v>
      </c>
    </row>
    <row r="47" spans="1:4">
      <c r="A47" s="23">
        <v>21</v>
      </c>
      <c r="B47" s="23">
        <v>0.164155445480609</v>
      </c>
      <c r="C47" s="23">
        <v>-0.164155445480609</v>
      </c>
      <c r="D47" s="23">
        <v>-0.340511497172494</v>
      </c>
    </row>
    <row r="48" spans="1:4">
      <c r="A48" s="23">
        <v>22</v>
      </c>
      <c r="B48" s="23">
        <v>0.153005294678211</v>
      </c>
      <c r="C48" s="23">
        <v>-0.153005294678211</v>
      </c>
      <c r="D48" s="23">
        <v>-0.317382477405239</v>
      </c>
    </row>
    <row r="49" spans="1:4">
      <c r="A49" s="23">
        <v>23</v>
      </c>
      <c r="B49" s="23">
        <v>0.165911471347433</v>
      </c>
      <c r="C49" s="23">
        <v>-0.165911471347433</v>
      </c>
      <c r="D49" s="23">
        <v>-0.34415406288352</v>
      </c>
    </row>
    <row r="50" spans="1:4">
      <c r="A50" s="23">
        <v>24</v>
      </c>
      <c r="B50" s="23">
        <v>0.158913417028808</v>
      </c>
      <c r="C50" s="23">
        <v>-0.158913417028808</v>
      </c>
      <c r="D50" s="23">
        <v>-0.329637834400493</v>
      </c>
    </row>
    <row r="51" spans="1:4">
      <c r="A51" s="23">
        <v>25</v>
      </c>
      <c r="B51" s="23">
        <v>0.156467698904846</v>
      </c>
      <c r="C51" s="23">
        <v>-0.156467698904846</v>
      </c>
      <c r="D51" s="23">
        <v>-0.324564623837092</v>
      </c>
    </row>
    <row r="52" spans="1:4">
      <c r="A52" s="23">
        <v>26</v>
      </c>
      <c r="B52" s="23">
        <v>0.172402098769794</v>
      </c>
      <c r="C52" s="23">
        <v>-0.172402098769794</v>
      </c>
      <c r="D52" s="23">
        <v>-0.357617723834312</v>
      </c>
    </row>
    <row r="53" spans="1:4">
      <c r="A53" s="23">
        <v>27</v>
      </c>
      <c r="B53" s="23">
        <v>0.189033882149498</v>
      </c>
      <c r="C53" s="23">
        <v>0.810966117850502</v>
      </c>
      <c r="D53" s="23">
        <v>1.68220607081877</v>
      </c>
    </row>
    <row r="54" spans="1:4">
      <c r="A54" s="23">
        <v>28</v>
      </c>
      <c r="B54" s="23">
        <v>0.157420088045404</v>
      </c>
      <c r="C54" s="23">
        <v>-0.157420088045404</v>
      </c>
      <c r="D54" s="23">
        <v>-0.326540187006457</v>
      </c>
    </row>
    <row r="55" spans="1:4">
      <c r="A55" s="23">
        <v>29</v>
      </c>
      <c r="B55" s="23">
        <v>0.181822865897809</v>
      </c>
      <c r="C55" s="23">
        <v>-0.181822865897809</v>
      </c>
      <c r="D55" s="23">
        <v>-0.377159442416244</v>
      </c>
    </row>
    <row r="56" spans="1:4">
      <c r="A56" s="23">
        <v>30</v>
      </c>
      <c r="B56" s="23">
        <v>0.176918356616266</v>
      </c>
      <c r="C56" s="23">
        <v>-0.176918356616266</v>
      </c>
      <c r="D56" s="23">
        <v>-0.366985903588669</v>
      </c>
    </row>
    <row r="57" spans="1:4">
      <c r="A57" s="23">
        <v>31</v>
      </c>
      <c r="B57" s="23">
        <v>0.145512988513217</v>
      </c>
      <c r="C57" s="23">
        <v>-0.145512988513217</v>
      </c>
      <c r="D57" s="23">
        <v>-0.301841010705504</v>
      </c>
    </row>
    <row r="58" spans="1:4">
      <c r="A58" s="23">
        <v>32</v>
      </c>
      <c r="B58" s="23">
        <v>0.169354109315153</v>
      </c>
      <c r="C58" s="23">
        <v>-0.169354109315153</v>
      </c>
      <c r="D58" s="23">
        <v>-0.351295207700125</v>
      </c>
    </row>
    <row r="59" spans="1:4">
      <c r="A59" s="23">
        <v>33</v>
      </c>
      <c r="B59" s="23">
        <v>0.162383386495144</v>
      </c>
      <c r="C59" s="23">
        <v>0.837616613504856</v>
      </c>
      <c r="D59" s="23">
        <v>1.73748782007225</v>
      </c>
    </row>
    <row r="60" spans="1:4">
      <c r="A60" s="23">
        <v>34</v>
      </c>
      <c r="B60" s="23">
        <v>0.16440429479291</v>
      </c>
      <c r="C60" s="23">
        <v>-0.16440429479291</v>
      </c>
      <c r="D60" s="23">
        <v>-0.341027691147381</v>
      </c>
    </row>
    <row r="61" spans="1:4">
      <c r="A61" s="23">
        <v>35</v>
      </c>
      <c r="B61" s="23">
        <v>0.147276129530292</v>
      </c>
      <c r="C61" s="23">
        <v>-0.147276129530292</v>
      </c>
      <c r="D61" s="23">
        <v>-0.305498335539858</v>
      </c>
    </row>
    <row r="62" spans="1:4">
      <c r="A62" s="23">
        <v>36</v>
      </c>
      <c r="B62" s="23">
        <v>0.151852646344307</v>
      </c>
      <c r="C62" s="23">
        <v>-0.151852646344307</v>
      </c>
      <c r="D62" s="23">
        <v>-0.314991511886294</v>
      </c>
    </row>
    <row r="63" spans="1:4">
      <c r="A63" s="23">
        <v>37</v>
      </c>
      <c r="B63" s="23">
        <v>0.157638321229154</v>
      </c>
      <c r="C63" s="23">
        <v>-0.157638321229154</v>
      </c>
      <c r="D63" s="23">
        <v>-0.326992873226605</v>
      </c>
    </row>
    <row r="64" spans="1:4">
      <c r="A64" s="23">
        <v>38</v>
      </c>
      <c r="B64" s="23">
        <v>0.167472685411228</v>
      </c>
      <c r="C64" s="23">
        <v>-0.167472685411228</v>
      </c>
      <c r="D64" s="23">
        <v>-0.347392525894682</v>
      </c>
    </row>
    <row r="65" spans="1:4">
      <c r="A65" s="23">
        <v>39</v>
      </c>
      <c r="B65" s="23">
        <v>0.165841616182921</v>
      </c>
      <c r="C65" s="23">
        <v>-0.165841616182921</v>
      </c>
      <c r="D65" s="23">
        <v>-0.344009160674619</v>
      </c>
    </row>
    <row r="66" spans="1:4">
      <c r="A66" s="23">
        <v>40</v>
      </c>
      <c r="B66" s="23">
        <v>0.163277667784534</v>
      </c>
      <c r="C66" s="23">
        <v>-0.163277667784534</v>
      </c>
      <c r="D66" s="23">
        <v>-0.338690702275315</v>
      </c>
    </row>
    <row r="67" spans="1:4">
      <c r="A67" s="23">
        <v>41</v>
      </c>
      <c r="B67" s="23">
        <v>0.159087472060198</v>
      </c>
      <c r="C67" s="23">
        <v>-0.159087472060198</v>
      </c>
      <c r="D67" s="23">
        <v>-0.329998880841296</v>
      </c>
    </row>
    <row r="68" spans="1:4">
      <c r="A68" s="23">
        <v>42</v>
      </c>
      <c r="B68" s="23">
        <v>0.164876650518532</v>
      </c>
      <c r="C68" s="23">
        <v>-0.164876650518532</v>
      </c>
      <c r="D68" s="23">
        <v>-0.342007509726402</v>
      </c>
    </row>
    <row r="69" spans="1:4">
      <c r="A69" s="23">
        <v>43</v>
      </c>
      <c r="B69" s="23">
        <v>0.162742562849074</v>
      </c>
      <c r="C69" s="23">
        <v>-0.162742562849074</v>
      </c>
      <c r="D69" s="23">
        <v>-0.337580721536119</v>
      </c>
    </row>
    <row r="70" spans="1:4">
      <c r="A70" s="23">
        <v>44</v>
      </c>
      <c r="B70" s="23">
        <v>0.155691282585468</v>
      </c>
      <c r="C70" s="23">
        <v>-0.155691282585468</v>
      </c>
      <c r="D70" s="23">
        <v>-0.322954085224946</v>
      </c>
    </row>
    <row r="71" spans="1:4">
      <c r="A71" s="23">
        <v>45</v>
      </c>
      <c r="B71" s="23">
        <v>0.155443487724229</v>
      </c>
      <c r="C71" s="23">
        <v>-0.155443487724229</v>
      </c>
      <c r="D71" s="23">
        <v>-0.322440078522671</v>
      </c>
    </row>
    <row r="72" spans="1:4">
      <c r="A72" s="23">
        <v>46</v>
      </c>
      <c r="B72" s="23">
        <v>0.142882735110781</v>
      </c>
      <c r="C72" s="23">
        <v>-0.142882735110781</v>
      </c>
      <c r="D72" s="23">
        <v>-0.296385014278556</v>
      </c>
    </row>
    <row r="73" spans="1:4">
      <c r="A73" s="23">
        <v>47</v>
      </c>
      <c r="B73" s="23">
        <v>0.141511760147595</v>
      </c>
      <c r="C73" s="23">
        <v>-0.141511760147595</v>
      </c>
      <c r="D73" s="23">
        <v>-0.293541168703201</v>
      </c>
    </row>
    <row r="74" spans="1:4">
      <c r="A74" s="23">
        <v>48</v>
      </c>
      <c r="B74" s="23">
        <v>0.144338873095276</v>
      </c>
      <c r="C74" s="23">
        <v>0.855661126904724</v>
      </c>
      <c r="D74" s="23">
        <v>1.77491797814924</v>
      </c>
    </row>
    <row r="75" spans="1:4">
      <c r="A75" s="23">
        <v>49</v>
      </c>
      <c r="B75" s="23">
        <v>0.150517084917585</v>
      </c>
      <c r="C75" s="23">
        <v>-0.150517084917585</v>
      </c>
      <c r="D75" s="23">
        <v>-0.31222112544162</v>
      </c>
    </row>
    <row r="76" spans="1:4">
      <c r="A76" s="23">
        <v>50</v>
      </c>
      <c r="B76" s="23">
        <v>0.140552750810721</v>
      </c>
      <c r="C76" s="23">
        <v>-0.140552750810721</v>
      </c>
      <c r="D76" s="23">
        <v>-0.291551873105085</v>
      </c>
    </row>
    <row r="77" spans="1:4">
      <c r="A77" s="23">
        <v>51</v>
      </c>
      <c r="B77" s="23">
        <v>0.144078503514379</v>
      </c>
      <c r="C77" s="23">
        <v>0.855921496485621</v>
      </c>
      <c r="D77" s="23">
        <v>1.77545806888793</v>
      </c>
    </row>
    <row r="78" spans="1:4">
      <c r="A78" s="23">
        <v>52</v>
      </c>
      <c r="B78" s="23">
        <v>0.133331402348788</v>
      </c>
      <c r="C78" s="23">
        <v>-0.133331402348788</v>
      </c>
      <c r="D78" s="23">
        <v>-0.276572460334599</v>
      </c>
    </row>
    <row r="79" spans="1:4">
      <c r="A79" s="23">
        <v>53</v>
      </c>
      <c r="B79" s="23">
        <v>0.132551834583734</v>
      </c>
      <c r="C79" s="23">
        <v>-0.132551834583734</v>
      </c>
      <c r="D79" s="23">
        <v>-0.274955384604647</v>
      </c>
    </row>
    <row r="80" spans="1:4">
      <c r="A80" s="23">
        <v>54</v>
      </c>
      <c r="B80" s="23">
        <v>0.136721746118185</v>
      </c>
      <c r="C80" s="23">
        <v>-0.136721746118185</v>
      </c>
      <c r="D80" s="23">
        <v>-0.283605130067039</v>
      </c>
    </row>
    <row r="81" spans="1:4">
      <c r="A81" s="23">
        <v>55</v>
      </c>
      <c r="B81" s="23">
        <v>0.140712938572304</v>
      </c>
      <c r="C81" s="23">
        <v>-0.140712938572304</v>
      </c>
      <c r="D81" s="23">
        <v>-0.291884154342332</v>
      </c>
    </row>
    <row r="82" spans="1:4">
      <c r="A82" s="23">
        <v>56</v>
      </c>
      <c r="B82" s="23">
        <v>0.14640523825567</v>
      </c>
      <c r="C82" s="23">
        <v>0.85359476174433</v>
      </c>
      <c r="D82" s="23">
        <v>1.77063166835056</v>
      </c>
    </row>
    <row r="83" spans="1:4">
      <c r="A83" s="23">
        <v>57</v>
      </c>
      <c r="B83" s="23">
        <v>0.13989708958259</v>
      </c>
      <c r="C83" s="23">
        <v>-0.13989708958259</v>
      </c>
      <c r="D83" s="23">
        <v>-0.29019181961569</v>
      </c>
    </row>
    <row r="84" spans="1:4">
      <c r="A84" s="23">
        <v>58</v>
      </c>
      <c r="B84" s="23">
        <v>0.124071169747998</v>
      </c>
      <c r="C84" s="23">
        <v>-0.124071169747998</v>
      </c>
      <c r="D84" s="23">
        <v>-0.257363742294031</v>
      </c>
    </row>
    <row r="85" spans="1:4">
      <c r="A85" s="23">
        <v>59</v>
      </c>
      <c r="B85" s="23">
        <v>0.124439533775605</v>
      </c>
      <c r="C85" s="23">
        <v>0.875560466224395</v>
      </c>
      <c r="D85" s="23">
        <v>1.81619564520833</v>
      </c>
    </row>
    <row r="86" spans="1:4">
      <c r="A86" s="23">
        <v>60</v>
      </c>
      <c r="B86" s="23">
        <v>0.114019317932375</v>
      </c>
      <c r="C86" s="23">
        <v>-0.114019317932375</v>
      </c>
      <c r="D86" s="23">
        <v>-0.236512949918106</v>
      </c>
    </row>
    <row r="87" spans="1:4">
      <c r="A87" s="23">
        <v>61</v>
      </c>
      <c r="B87" s="23">
        <v>0.139427007580883</v>
      </c>
      <c r="C87" s="23">
        <v>0.860572992419117</v>
      </c>
      <c r="D87" s="23">
        <v>1.78510677618344</v>
      </c>
    </row>
    <row r="88" spans="1:4">
      <c r="A88" s="23">
        <v>62</v>
      </c>
      <c r="B88" s="23">
        <v>0.138566873424974</v>
      </c>
      <c r="C88" s="23">
        <v>-0.138566873424974</v>
      </c>
      <c r="D88" s="23">
        <v>-0.287432520988302</v>
      </c>
    </row>
    <row r="89" spans="1:4">
      <c r="A89" s="23">
        <v>63</v>
      </c>
      <c r="B89" s="23">
        <v>0.139263681965186</v>
      </c>
      <c r="C89" s="23">
        <v>-0.139263681965186</v>
      </c>
      <c r="D89" s="23">
        <v>-0.288877927313846</v>
      </c>
    </row>
    <row r="90" spans="1:4">
      <c r="A90" s="23">
        <v>64</v>
      </c>
      <c r="B90" s="23">
        <v>0.135039337943216</v>
      </c>
      <c r="C90" s="23">
        <v>-0.135039337943216</v>
      </c>
      <c r="D90" s="23">
        <v>-0.280115271263777</v>
      </c>
    </row>
    <row r="91" spans="1:4">
      <c r="A91" s="23">
        <v>65</v>
      </c>
      <c r="B91" s="23">
        <v>0.133111135390898</v>
      </c>
      <c r="C91" s="23">
        <v>-0.133111135390898</v>
      </c>
      <c r="D91" s="23">
        <v>-0.276115555408971</v>
      </c>
    </row>
    <row r="92" spans="1:4">
      <c r="A92" s="23">
        <v>66</v>
      </c>
      <c r="B92" s="23">
        <v>0.124145787497576</v>
      </c>
      <c r="C92" s="23">
        <v>-0.124145787497576</v>
      </c>
      <c r="D92" s="23">
        <v>-0.257518523645026</v>
      </c>
    </row>
    <row r="93" spans="1:4">
      <c r="A93" s="23">
        <v>67</v>
      </c>
      <c r="B93" s="23">
        <v>0.126467270733385</v>
      </c>
      <c r="C93" s="23">
        <v>-0.126467270733385</v>
      </c>
      <c r="D93" s="23">
        <v>-0.2623340308612</v>
      </c>
    </row>
    <row r="94" spans="1:4">
      <c r="A94" s="23">
        <v>68</v>
      </c>
      <c r="B94" s="23">
        <v>0.124317600585963</v>
      </c>
      <c r="C94" s="23">
        <v>-0.124317600585963</v>
      </c>
      <c r="D94" s="23">
        <v>-0.257874919570785</v>
      </c>
    </row>
    <row r="95" spans="1:4">
      <c r="A95" s="23">
        <v>69</v>
      </c>
      <c r="B95" s="23">
        <v>0.129457077232131</v>
      </c>
      <c r="C95" s="23">
        <v>0.870542922767869</v>
      </c>
      <c r="D95" s="23">
        <v>1.805787636936</v>
      </c>
    </row>
    <row r="96" spans="1:4">
      <c r="A96" s="23">
        <v>70</v>
      </c>
      <c r="B96" s="23">
        <v>0.131338484750878</v>
      </c>
      <c r="C96" s="23">
        <v>-0.131338484750878</v>
      </c>
      <c r="D96" s="23">
        <v>-0.272438504540328</v>
      </c>
    </row>
    <row r="97" spans="1:4">
      <c r="A97" s="23">
        <v>71</v>
      </c>
      <c r="B97" s="23">
        <v>0.127181542596239</v>
      </c>
      <c r="C97" s="23">
        <v>-0.127181542596239</v>
      </c>
      <c r="D97" s="23">
        <v>-0.263815661767177</v>
      </c>
    </row>
    <row r="98" spans="1:4">
      <c r="A98" s="23">
        <v>72</v>
      </c>
      <c r="B98" s="23">
        <v>0.124175311535345</v>
      </c>
      <c r="C98" s="23">
        <v>-0.124175311535345</v>
      </c>
      <c r="D98" s="23">
        <v>-0.257579766050197</v>
      </c>
    </row>
    <row r="99" spans="1:4">
      <c r="A99" s="23">
        <v>73</v>
      </c>
      <c r="B99" s="23">
        <v>0.127225313486326</v>
      </c>
      <c r="C99" s="23">
        <v>-0.127225313486326</v>
      </c>
      <c r="D99" s="23">
        <v>-0.263906456752823</v>
      </c>
    </row>
    <row r="100" spans="1:4">
      <c r="A100" s="23">
        <v>74</v>
      </c>
      <c r="B100" s="23">
        <v>0.136900211067513</v>
      </c>
      <c r="C100" s="23">
        <v>-0.136900211067513</v>
      </c>
      <c r="D100" s="23">
        <v>-0.283975324104224</v>
      </c>
    </row>
    <row r="101" spans="1:4">
      <c r="A101" s="23">
        <v>75</v>
      </c>
      <c r="B101" s="23">
        <v>0.18956369523197</v>
      </c>
      <c r="C101" s="23">
        <v>-0.18956369523197</v>
      </c>
      <c r="D101" s="23">
        <v>-0.393216426564499</v>
      </c>
    </row>
    <row r="102" spans="1:4">
      <c r="A102" s="23">
        <v>76</v>
      </c>
      <c r="B102" s="23">
        <v>0.15143458653866</v>
      </c>
      <c r="C102" s="23">
        <v>-0.15143458653866</v>
      </c>
      <c r="D102" s="23">
        <v>-0.314124320609686</v>
      </c>
    </row>
    <row r="103" spans="1:4">
      <c r="A103" s="23">
        <v>77</v>
      </c>
      <c r="B103" s="23">
        <v>0.15143458653866</v>
      </c>
      <c r="C103" s="23">
        <v>-0.15143458653866</v>
      </c>
      <c r="D103" s="23">
        <v>-0.314124320609686</v>
      </c>
    </row>
    <row r="104" spans="1:4">
      <c r="A104" s="23">
        <v>78</v>
      </c>
      <c r="B104" s="23">
        <v>0.151456667792813</v>
      </c>
      <c r="C104" s="23">
        <v>-0.151456667792813</v>
      </c>
      <c r="D104" s="23">
        <v>-0.314170124273945</v>
      </c>
    </row>
    <row r="105" spans="1:4">
      <c r="A105" s="23">
        <v>79</v>
      </c>
      <c r="B105" s="23">
        <v>0.147647487453066</v>
      </c>
      <c r="C105" s="23">
        <v>-0.147647487453066</v>
      </c>
      <c r="D105" s="23">
        <v>-0.306268652003625</v>
      </c>
    </row>
    <row r="106" spans="1:4">
      <c r="A106" s="23">
        <v>80</v>
      </c>
      <c r="B106" s="23">
        <v>0.134590798848139</v>
      </c>
      <c r="C106" s="23">
        <v>-0.134590798848139</v>
      </c>
      <c r="D106" s="23">
        <v>-0.279184856081033</v>
      </c>
    </row>
    <row r="107" spans="1:4">
      <c r="A107" s="23">
        <v>81</v>
      </c>
      <c r="B107" s="23">
        <v>0.144916329491511</v>
      </c>
      <c r="C107" s="23">
        <v>-0.144916329491511</v>
      </c>
      <c r="D107" s="23">
        <v>-0.300603346879076</v>
      </c>
    </row>
    <row r="108" spans="1:4">
      <c r="A108" s="23">
        <v>82</v>
      </c>
      <c r="B108" s="23">
        <v>0.137553299972176</v>
      </c>
      <c r="C108" s="23">
        <v>-0.137553299972176</v>
      </c>
      <c r="D108" s="23">
        <v>-0.285330041762616</v>
      </c>
    </row>
    <row r="109" spans="1:4">
      <c r="A109" s="23">
        <v>83</v>
      </c>
      <c r="B109" s="23">
        <v>0.12956093036046</v>
      </c>
      <c r="C109" s="23">
        <v>-0.12956093036046</v>
      </c>
      <c r="D109" s="23">
        <v>-0.268751281707026</v>
      </c>
    </row>
    <row r="110" spans="1:4">
      <c r="A110" s="23">
        <v>84</v>
      </c>
      <c r="B110" s="23">
        <v>0.125798858281356</v>
      </c>
      <c r="C110" s="23">
        <v>-0.125798858281356</v>
      </c>
      <c r="D110" s="23">
        <v>-0.260947527208501</v>
      </c>
    </row>
    <row r="111" spans="1:4">
      <c r="A111" s="23">
        <v>85</v>
      </c>
      <c r="B111" s="23">
        <v>0.117535253152021</v>
      </c>
      <c r="C111" s="23">
        <v>-0.117535253152021</v>
      </c>
      <c r="D111" s="23">
        <v>-0.243806136946401</v>
      </c>
    </row>
    <row r="112" spans="1:4">
      <c r="A112" s="23">
        <v>86</v>
      </c>
      <c r="B112" s="23">
        <v>0.118672439861678</v>
      </c>
      <c r="C112" s="23">
        <v>-0.118672439861678</v>
      </c>
      <c r="D112" s="23">
        <v>-0.246165030054919</v>
      </c>
    </row>
    <row r="113" spans="1:4">
      <c r="A113" s="23">
        <v>87</v>
      </c>
      <c r="B113" s="23">
        <v>0.118090498469871</v>
      </c>
      <c r="C113" s="23">
        <v>0.881909501530129</v>
      </c>
      <c r="D113" s="23">
        <v>1.82936559830508</v>
      </c>
    </row>
    <row r="114" spans="1:4">
      <c r="A114" s="23">
        <v>88</v>
      </c>
      <c r="B114" s="23">
        <v>0.117853679942474</v>
      </c>
      <c r="C114" s="23">
        <v>0.882146320057526</v>
      </c>
      <c r="D114" s="23">
        <v>1.8298568365402</v>
      </c>
    </row>
    <row r="115" spans="1:4">
      <c r="A115" s="23">
        <v>89</v>
      </c>
      <c r="B115" s="23">
        <v>0.11741516932098</v>
      </c>
      <c r="C115" s="23">
        <v>-0.11741516932098</v>
      </c>
      <c r="D115" s="23">
        <v>-0.243557044234464</v>
      </c>
    </row>
    <row r="116" spans="1:4">
      <c r="A116" s="23">
        <v>90</v>
      </c>
      <c r="B116" s="23">
        <v>0.116044725267399</v>
      </c>
      <c r="C116" s="23">
        <v>-0.116044725267399</v>
      </c>
      <c r="D116" s="23">
        <v>-0.240714299937374</v>
      </c>
    </row>
    <row r="117" spans="1:4">
      <c r="A117" s="23">
        <v>91</v>
      </c>
      <c r="B117" s="23">
        <v>0.117216826361569</v>
      </c>
      <c r="C117" s="23">
        <v>-0.117216826361569</v>
      </c>
      <c r="D117" s="23">
        <v>-0.243145616773955</v>
      </c>
    </row>
    <row r="118" spans="1:4">
      <c r="A118" s="23">
        <v>92</v>
      </c>
      <c r="B118" s="23">
        <v>0.120005640967204</v>
      </c>
      <c r="C118" s="23">
        <v>-0.120005640967204</v>
      </c>
      <c r="D118" s="23">
        <v>-0.248930520429883</v>
      </c>
    </row>
    <row r="119" spans="1:4">
      <c r="A119" s="23">
        <v>93</v>
      </c>
      <c r="B119" s="23">
        <v>0.111424879353581</v>
      </c>
      <c r="C119" s="23">
        <v>-0.111424879353581</v>
      </c>
      <c r="D119" s="23">
        <v>-0.231131245021258</v>
      </c>
    </row>
    <row r="120" spans="1:4">
      <c r="A120" s="23">
        <v>94</v>
      </c>
      <c r="B120" s="23">
        <v>0.111274712627663</v>
      </c>
      <c r="C120" s="23">
        <v>-0.111274712627663</v>
      </c>
      <c r="D120" s="23">
        <v>-0.23081975065372</v>
      </c>
    </row>
    <row r="121" spans="1:4">
      <c r="A121" s="23">
        <v>95</v>
      </c>
      <c r="B121" s="23">
        <v>0.107192654839439</v>
      </c>
      <c r="C121" s="23">
        <v>-0.107192654839439</v>
      </c>
      <c r="D121" s="23">
        <v>-0.222352242281132</v>
      </c>
    </row>
    <row r="122" spans="1:4">
      <c r="A122" s="23">
        <v>96</v>
      </c>
      <c r="B122" s="23">
        <v>0.105883224770757</v>
      </c>
      <c r="C122" s="23">
        <v>-0.105883224770757</v>
      </c>
      <c r="D122" s="23">
        <v>-0.219636060726363</v>
      </c>
    </row>
    <row r="123" spans="1:4">
      <c r="A123" s="23">
        <v>97</v>
      </c>
      <c r="B123" s="23">
        <v>0.0971447122804642</v>
      </c>
      <c r="C123" s="23">
        <v>-0.0971447122804642</v>
      </c>
      <c r="D123" s="23">
        <v>-0.201509558968115</v>
      </c>
    </row>
    <row r="124" spans="1:4">
      <c r="A124" s="23">
        <v>98</v>
      </c>
      <c r="B124" s="23">
        <v>0.0904990909687595</v>
      </c>
      <c r="C124" s="23">
        <v>-0.0904990909687595</v>
      </c>
      <c r="D124" s="23">
        <v>-0.187724390551285</v>
      </c>
    </row>
    <row r="125" spans="1:4">
      <c r="A125" s="23">
        <v>99</v>
      </c>
      <c r="B125" s="23">
        <v>0.0874253212750236</v>
      </c>
      <c r="C125" s="23">
        <v>-0.0874253212750236</v>
      </c>
      <c r="D125" s="23">
        <v>-0.181348397861472</v>
      </c>
    </row>
    <row r="126" spans="1:4">
      <c r="A126" s="23">
        <v>100</v>
      </c>
      <c r="B126" s="23">
        <v>0.0786832872740483</v>
      </c>
      <c r="C126" s="23">
        <v>-0.0786832872740483</v>
      </c>
      <c r="D126" s="23">
        <v>-0.163214591350882</v>
      </c>
    </row>
    <row r="127" spans="1:4">
      <c r="A127" s="23">
        <v>101</v>
      </c>
      <c r="B127" s="23">
        <v>0.0706474738391978</v>
      </c>
      <c r="C127" s="23">
        <v>-0.0706474738391978</v>
      </c>
      <c r="D127" s="23">
        <v>-0.146545714752311</v>
      </c>
    </row>
    <row r="128" spans="1:4">
      <c r="A128" s="23">
        <v>102</v>
      </c>
      <c r="B128" s="23">
        <v>0.0718005403691875</v>
      </c>
      <c r="C128" s="23">
        <v>-0.0718005403691875</v>
      </c>
      <c r="D128" s="23">
        <v>-0.14893754774522</v>
      </c>
    </row>
    <row r="129" spans="1:4">
      <c r="A129" s="23">
        <v>103</v>
      </c>
      <c r="B129" s="23">
        <v>0.0653015819306667</v>
      </c>
      <c r="C129" s="23">
        <v>-0.0653015819306667</v>
      </c>
      <c r="D129" s="23">
        <v>-0.135456605571883</v>
      </c>
    </row>
    <row r="130" spans="1:4">
      <c r="A130" s="23">
        <v>104</v>
      </c>
      <c r="B130" s="23">
        <v>0.0704560788841785</v>
      </c>
      <c r="C130" s="23">
        <v>-0.0704560788841785</v>
      </c>
      <c r="D130" s="23">
        <v>-0.146148699700547</v>
      </c>
    </row>
    <row r="131" spans="1:4">
      <c r="A131" s="23">
        <v>105</v>
      </c>
      <c r="B131" s="23">
        <v>0.0680516315605054</v>
      </c>
      <c r="C131" s="23">
        <v>-0.0680516315605054</v>
      </c>
      <c r="D131" s="23">
        <v>-0.141161098127786</v>
      </c>
    </row>
    <row r="132" spans="1:4">
      <c r="A132" s="23">
        <v>106</v>
      </c>
      <c r="B132" s="23">
        <v>0.0885900546241216</v>
      </c>
      <c r="C132" s="23">
        <v>-0.0885900546241216</v>
      </c>
      <c r="D132" s="23">
        <v>-0.183764431611354</v>
      </c>
    </row>
    <row r="133" spans="1:4">
      <c r="A133" s="23">
        <v>107</v>
      </c>
      <c r="B133" s="23">
        <v>0.0951333984059289</v>
      </c>
      <c r="C133" s="23">
        <v>-0.0951333984059289</v>
      </c>
      <c r="D133" s="23">
        <v>-0.197337443345044</v>
      </c>
    </row>
    <row r="134" spans="1:4">
      <c r="A134" s="23">
        <v>108</v>
      </c>
      <c r="B134" s="23">
        <v>0.103520149463517</v>
      </c>
      <c r="C134" s="23">
        <v>-0.103520149463517</v>
      </c>
      <c r="D134" s="23">
        <v>-0.21473427809927</v>
      </c>
    </row>
    <row r="135" spans="1:4">
      <c r="A135" s="23">
        <v>109</v>
      </c>
      <c r="B135" s="23">
        <v>0.108035272252081</v>
      </c>
      <c r="C135" s="23">
        <v>0.891964727747919</v>
      </c>
      <c r="D135" s="23">
        <v>1.8502233902827</v>
      </c>
    </row>
    <row r="136" spans="1:4">
      <c r="A136" s="23">
        <v>110</v>
      </c>
      <c r="B136" s="23">
        <v>0.0915164326516797</v>
      </c>
      <c r="C136" s="23">
        <v>-0.0915164326516797</v>
      </c>
      <c r="D136" s="23">
        <v>-0.189834686305245</v>
      </c>
    </row>
    <row r="137" ht="14.75" spans="1:4">
      <c r="A137" s="24">
        <v>111</v>
      </c>
      <c r="B137" s="24">
        <v>0.185552099566666</v>
      </c>
      <c r="C137" s="24">
        <v>-0.185552099566666</v>
      </c>
      <c r="D137" s="24">
        <v>-0.384895079428899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37"/>
  <sheetViews>
    <sheetView workbookViewId="0">
      <selection activeCell="H8" sqref="H8"/>
    </sheetView>
  </sheetViews>
  <sheetFormatPr defaultColWidth="9" defaultRowHeight="14"/>
  <cols>
    <col min="1" max="1" width="16.8181818181818" customWidth="1"/>
  </cols>
  <sheetData>
    <row r="1" spans="1:9">
      <c r="A1" t="s">
        <v>0</v>
      </c>
    </row>
    <row r="2" ht="14.75"/>
    <row r="3" spans="1:9">
      <c r="A3" s="22" t="s">
        <v>1</v>
      </c>
      <c r="B3" s="22"/>
    </row>
    <row r="4" spans="1:9">
      <c r="A4" s="23" t="s">
        <v>2</v>
      </c>
      <c r="B4" s="23">
        <v>0.0235046163353028</v>
      </c>
    </row>
    <row r="5" spans="1:9">
      <c r="A5" s="23" t="s">
        <v>3</v>
      </c>
      <c r="B5" s="23">
        <v>0.000552466989069781</v>
      </c>
    </row>
    <row r="6" spans="1:9">
      <c r="A6" s="23" t="s">
        <v>4</v>
      </c>
      <c r="B6" s="23">
        <v>-0.0274694264598348</v>
      </c>
    </row>
    <row r="7" spans="1:9">
      <c r="A7" s="23" t="s">
        <v>5</v>
      </c>
      <c r="B7" s="23">
        <v>0.327424622845257</v>
      </c>
    </row>
    <row r="8" ht="14.75" spans="1:9">
      <c r="A8" s="24" t="s">
        <v>6</v>
      </c>
      <c r="B8" s="24">
        <v>111</v>
      </c>
    </row>
    <row r="10" ht="14.75" spans="1:9">
      <c r="A10" t="s">
        <v>7</v>
      </c>
    </row>
    <row r="11" spans="1:9">
      <c r="A11" s="25"/>
      <c r="B11" s="25" t="s">
        <v>8</v>
      </c>
      <c r="C11" s="25" t="s">
        <v>9</v>
      </c>
      <c r="D11" s="25" t="s">
        <v>10</v>
      </c>
      <c r="E11" s="25" t="s">
        <v>11</v>
      </c>
      <c r="F11" s="25" t="s">
        <v>12</v>
      </c>
    </row>
    <row r="12" spans="1:9">
      <c r="A12" s="23" t="s">
        <v>13</v>
      </c>
      <c r="B12" s="23">
        <v>3</v>
      </c>
      <c r="C12" s="23">
        <v>0.0063409274240982</v>
      </c>
      <c r="D12" s="23">
        <v>0.0021136424746994</v>
      </c>
      <c r="E12" s="23">
        <v>0.0197155481330038</v>
      </c>
      <c r="F12" s="23">
        <v>0.996217034233733</v>
      </c>
    </row>
    <row r="13" spans="1:9">
      <c r="A13" s="23" t="s">
        <v>14</v>
      </c>
      <c r="B13" s="23">
        <v>107</v>
      </c>
      <c r="C13" s="23">
        <v>11.4711365500534</v>
      </c>
      <c r="D13" s="23">
        <v>0.107206883645358</v>
      </c>
      <c r="E13" s="23"/>
      <c r="F13" s="23"/>
    </row>
    <row r="14" ht="14.75" spans="1:9">
      <c r="A14" s="24" t="s">
        <v>15</v>
      </c>
      <c r="B14" s="24">
        <v>110</v>
      </c>
      <c r="C14" s="24">
        <v>11.4774774774775</v>
      </c>
      <c r="D14" s="24"/>
      <c r="E14" s="24"/>
      <c r="F14" s="24"/>
    </row>
    <row r="15" ht="14.75"/>
    <row r="16" spans="1:9">
      <c r="A16" s="25"/>
      <c r="B16" s="25" t="s">
        <v>16</v>
      </c>
      <c r="C16" s="25" t="s">
        <v>5</v>
      </c>
      <c r="D16" s="25" t="s">
        <v>17</v>
      </c>
      <c r="E16" s="25" t="s">
        <v>18</v>
      </c>
      <c r="F16" s="25" t="s">
        <v>19</v>
      </c>
      <c r="G16" s="25" t="s">
        <v>20</v>
      </c>
      <c r="H16" s="25" t="s">
        <v>21</v>
      </c>
      <c r="I16" s="25" t="s">
        <v>22</v>
      </c>
    </row>
    <row r="17" spans="1:9">
      <c r="A17" s="23" t="s">
        <v>23</v>
      </c>
      <c r="B17" s="23">
        <v>0.0424792348045025</v>
      </c>
      <c r="C17" s="23">
        <v>0.339576328907375</v>
      </c>
      <c r="D17" s="23">
        <v>0.125094805462984</v>
      </c>
      <c r="E17" s="23">
        <v>0.900683222078117</v>
      </c>
      <c r="F17" s="23">
        <v>-0.630691232526789</v>
      </c>
      <c r="G17" s="23">
        <v>0.715649702135794</v>
      </c>
      <c r="H17" s="23">
        <v>-0.630691232526789</v>
      </c>
      <c r="I17" s="23">
        <v>0.715649702135794</v>
      </c>
    </row>
    <row r="18" spans="1:9">
      <c r="A18" s="23" t="s">
        <v>24</v>
      </c>
      <c r="B18" s="23">
        <v>2.37545351659501e-5</v>
      </c>
      <c r="C18" s="23">
        <v>0.000691372870313467</v>
      </c>
      <c r="D18" s="23">
        <v>0.0343585005804174</v>
      </c>
      <c r="E18" s="23">
        <v>0.97265528930439</v>
      </c>
      <c r="F18" s="23">
        <v>-0.0013468115455341</v>
      </c>
      <c r="G18" s="23">
        <v>0.001394320615866</v>
      </c>
      <c r="H18" s="23">
        <v>-0.0013468115455341</v>
      </c>
      <c r="I18" s="23">
        <v>0.001394320615866</v>
      </c>
    </row>
    <row r="19" spans="1:9">
      <c r="A19" s="23" t="s">
        <v>25</v>
      </c>
      <c r="B19" s="23">
        <v>-1.30387677899076e-6</v>
      </c>
      <c r="C19" s="23">
        <v>0.000233849779024138</v>
      </c>
      <c r="D19" s="23">
        <v>-0.00557570242072443</v>
      </c>
      <c r="E19" s="23">
        <v>0.995561638365527</v>
      </c>
      <c r="F19" s="23">
        <v>-0.000464883789835701</v>
      </c>
      <c r="G19" s="23">
        <v>0.00046227603627772</v>
      </c>
      <c r="H19" s="23">
        <v>-0.000464883789835701</v>
      </c>
      <c r="I19" s="23">
        <v>0.00046227603627772</v>
      </c>
    </row>
    <row r="20" ht="14.75" spans="1:9">
      <c r="A20" s="24" t="s">
        <v>26</v>
      </c>
      <c r="B20" s="24">
        <v>0.0162726084832427</v>
      </c>
      <c r="C20" s="24">
        <v>0.0886357361488979</v>
      </c>
      <c r="D20" s="24">
        <v>0.183589703095674</v>
      </c>
      <c r="E20" s="24">
        <v>0.854682794970054</v>
      </c>
      <c r="F20" s="24">
        <v>-0.159437400861613</v>
      </c>
      <c r="G20" s="24">
        <v>0.191982617828098</v>
      </c>
      <c r="H20" s="24">
        <v>-0.159437400861613</v>
      </c>
      <c r="I20" s="24">
        <v>0.191982617828098</v>
      </c>
    </row>
    <row r="24" spans="1:9">
      <c r="A24" t="s">
        <v>27</v>
      </c>
    </row>
    <row r="25" ht="14.75"/>
    <row r="26" spans="1:9">
      <c r="A26" s="25" t="s">
        <v>28</v>
      </c>
      <c r="B26" s="25" t="s">
        <v>29</v>
      </c>
      <c r="C26" s="25" t="s">
        <v>30</v>
      </c>
      <c r="D26" s="25" t="s">
        <v>31</v>
      </c>
    </row>
    <row r="27" spans="1:9">
      <c r="A27" s="23">
        <v>1</v>
      </c>
      <c r="B27" s="23">
        <v>0.123415071566498</v>
      </c>
      <c r="C27" s="23">
        <v>0.876584928433503</v>
      </c>
      <c r="D27" s="23">
        <v>2.71448294375587</v>
      </c>
    </row>
    <row r="28" spans="1:9">
      <c r="A28" s="23">
        <v>2</v>
      </c>
      <c r="B28" s="23">
        <v>0.128138943329112</v>
      </c>
      <c r="C28" s="23">
        <v>-0.128138943329112</v>
      </c>
      <c r="D28" s="23">
        <v>-0.396802368846752</v>
      </c>
    </row>
    <row r="29" spans="1:9">
      <c r="A29" s="23">
        <v>3</v>
      </c>
      <c r="B29" s="23">
        <v>0.130531141113009</v>
      </c>
      <c r="C29" s="23">
        <v>-0.130531141113009</v>
      </c>
      <c r="D29" s="23">
        <v>-0.404210185102596</v>
      </c>
    </row>
    <row r="30" spans="1:9">
      <c r="A30" s="23">
        <v>4</v>
      </c>
      <c r="B30" s="23">
        <v>0.125318873480123</v>
      </c>
      <c r="C30" s="23">
        <v>-0.125318873480123</v>
      </c>
      <c r="D30" s="23">
        <v>-0.38806957952198</v>
      </c>
    </row>
    <row r="31" spans="1:9">
      <c r="A31" s="23">
        <v>5</v>
      </c>
      <c r="B31" s="23">
        <v>0.127708445112145</v>
      </c>
      <c r="C31" s="23">
        <v>-0.127708445112145</v>
      </c>
      <c r="D31" s="23">
        <v>-0.395469263485972</v>
      </c>
    </row>
    <row r="32" spans="1:9">
      <c r="A32" s="23">
        <v>6</v>
      </c>
      <c r="B32" s="23">
        <v>0.123820971012848</v>
      </c>
      <c r="C32" s="23">
        <v>-0.123820971012848</v>
      </c>
      <c r="D32" s="23">
        <v>-0.383431089209243</v>
      </c>
    </row>
    <row r="33" spans="1:4">
      <c r="A33" s="23">
        <v>7</v>
      </c>
      <c r="B33" s="23">
        <v>0.124835772467651</v>
      </c>
      <c r="C33" s="23">
        <v>-0.124835772467651</v>
      </c>
      <c r="D33" s="23">
        <v>-0.386573581340936</v>
      </c>
    </row>
    <row r="34" spans="1:4">
      <c r="A34" s="23">
        <v>8</v>
      </c>
      <c r="B34" s="23">
        <v>0.127959793024163</v>
      </c>
      <c r="C34" s="23">
        <v>-0.127959793024163</v>
      </c>
      <c r="D34" s="23">
        <v>-0.396247601782684</v>
      </c>
    </row>
    <row r="35" spans="1:4">
      <c r="A35" s="23">
        <v>9</v>
      </c>
      <c r="B35" s="23">
        <v>0.1246433351021</v>
      </c>
      <c r="C35" s="23">
        <v>-0.1246433351021</v>
      </c>
      <c r="D35" s="23">
        <v>-0.385977668806297</v>
      </c>
    </row>
    <row r="36" spans="1:4">
      <c r="A36" s="23">
        <v>10</v>
      </c>
      <c r="B36" s="23">
        <v>0.126154295301611</v>
      </c>
      <c r="C36" s="23">
        <v>-0.126154295301611</v>
      </c>
      <c r="D36" s="23">
        <v>-0.390656594438289</v>
      </c>
    </row>
    <row r="37" spans="1:4">
      <c r="A37" s="23">
        <v>11</v>
      </c>
      <c r="B37" s="23">
        <v>0.125960480829326</v>
      </c>
      <c r="C37" s="23">
        <v>-0.125960480829326</v>
      </c>
      <c r="D37" s="23">
        <v>-0.390056417476304</v>
      </c>
    </row>
    <row r="38" spans="1:4">
      <c r="A38" s="23">
        <v>12</v>
      </c>
      <c r="B38" s="23">
        <v>0.124893193324883</v>
      </c>
      <c r="C38" s="23">
        <v>-0.124893193324883</v>
      </c>
      <c r="D38" s="23">
        <v>-0.386751394046262</v>
      </c>
    </row>
    <row r="39" spans="1:4">
      <c r="A39" s="23">
        <v>13</v>
      </c>
      <c r="B39" s="23">
        <v>0.125840413296642</v>
      </c>
      <c r="C39" s="23">
        <v>-0.125840413296642</v>
      </c>
      <c r="D39" s="23">
        <v>-0.389684609498551</v>
      </c>
    </row>
    <row r="40" spans="1:4">
      <c r="A40" s="23">
        <v>14</v>
      </c>
      <c r="B40" s="23">
        <v>0.128274066167293</v>
      </c>
      <c r="C40" s="23">
        <v>-0.128274066167293</v>
      </c>
      <c r="D40" s="23">
        <v>-0.397220797943187</v>
      </c>
    </row>
    <row r="41" spans="1:4">
      <c r="A41" s="23">
        <v>15</v>
      </c>
      <c r="B41" s="23">
        <v>0.124192440386759</v>
      </c>
      <c r="C41" s="23">
        <v>-0.124192440386759</v>
      </c>
      <c r="D41" s="23">
        <v>-0.384581402483977</v>
      </c>
    </row>
    <row r="42" spans="1:4">
      <c r="A42" s="23">
        <v>16</v>
      </c>
      <c r="B42" s="23">
        <v>0.122300492744817</v>
      </c>
      <c r="C42" s="23">
        <v>-0.122300492744817</v>
      </c>
      <c r="D42" s="23">
        <v>-0.378722689382777</v>
      </c>
    </row>
    <row r="43" spans="1:4">
      <c r="A43" s="23">
        <v>17</v>
      </c>
      <c r="B43" s="23">
        <v>0.12551242006959</v>
      </c>
      <c r="C43" s="23">
        <v>-0.12551242006959</v>
      </c>
      <c r="D43" s="23">
        <v>-0.388668926942735</v>
      </c>
    </row>
    <row r="44" spans="1:4">
      <c r="A44" s="23">
        <v>18</v>
      </c>
      <c r="B44" s="23">
        <v>0.127274105134371</v>
      </c>
      <c r="C44" s="23">
        <v>0.872725894865629</v>
      </c>
      <c r="D44" s="23">
        <v>2.70253284005275</v>
      </c>
    </row>
    <row r="45" spans="1:4">
      <c r="A45" s="23">
        <v>19</v>
      </c>
      <c r="B45" s="23">
        <v>0.123641249443792</v>
      </c>
      <c r="C45" s="23">
        <v>-0.123641249443792</v>
      </c>
      <c r="D45" s="23">
        <v>-0.382874553136123</v>
      </c>
    </row>
    <row r="46" spans="1:4">
      <c r="A46" s="23">
        <v>20</v>
      </c>
      <c r="B46" s="23">
        <v>0.129159860629271</v>
      </c>
      <c r="C46" s="23">
        <v>-0.129159860629271</v>
      </c>
      <c r="D46" s="23">
        <v>-0.399963799654397</v>
      </c>
    </row>
    <row r="47" spans="1:4">
      <c r="A47" s="23">
        <v>21</v>
      </c>
      <c r="B47" s="23">
        <v>0.120486323440665</v>
      </c>
      <c r="C47" s="23">
        <v>-0.120486323440665</v>
      </c>
      <c r="D47" s="23">
        <v>-0.373104829123636</v>
      </c>
    </row>
    <row r="48" spans="1:4">
      <c r="A48" s="23">
        <v>22</v>
      </c>
      <c r="B48" s="23">
        <v>0.11775804136298</v>
      </c>
      <c r="C48" s="23">
        <v>-0.11775804136298</v>
      </c>
      <c r="D48" s="23">
        <v>-0.36465627505271</v>
      </c>
    </row>
    <row r="49" spans="1:4">
      <c r="A49" s="23">
        <v>23</v>
      </c>
      <c r="B49" s="23">
        <v>0.120584431657413</v>
      </c>
      <c r="C49" s="23">
        <v>-0.120584431657413</v>
      </c>
      <c r="D49" s="23">
        <v>-0.373408636629753</v>
      </c>
    </row>
    <row r="50" spans="1:4">
      <c r="A50" s="23">
        <v>24</v>
      </c>
      <c r="B50" s="23">
        <v>0.119090325368493</v>
      </c>
      <c r="C50" s="23">
        <v>-0.119090325368493</v>
      </c>
      <c r="D50" s="23">
        <v>-0.36878190177968</v>
      </c>
    </row>
    <row r="51" spans="1:4">
      <c r="A51" s="23">
        <v>25</v>
      </c>
      <c r="B51" s="23">
        <v>0.118742924070201</v>
      </c>
      <c r="C51" s="23">
        <v>-0.118742924070201</v>
      </c>
      <c r="D51" s="23">
        <v>-0.367706119082232</v>
      </c>
    </row>
    <row r="52" spans="1:4">
      <c r="A52" s="23">
        <v>26</v>
      </c>
      <c r="B52" s="23">
        <v>0.122092311959465</v>
      </c>
      <c r="C52" s="23">
        <v>-0.122092311959465</v>
      </c>
      <c r="D52" s="23">
        <v>-0.378078024875407</v>
      </c>
    </row>
    <row r="53" spans="1:4">
      <c r="A53" s="23">
        <v>27</v>
      </c>
      <c r="B53" s="23">
        <v>0.125647306215103</v>
      </c>
      <c r="C53" s="23">
        <v>0.874352693784897</v>
      </c>
      <c r="D53" s="23">
        <v>2.70757047847891</v>
      </c>
    </row>
    <row r="54" spans="1:4">
      <c r="A54" s="23">
        <v>28</v>
      </c>
      <c r="B54" s="23">
        <v>0.118886545309872</v>
      </c>
      <c r="C54" s="23">
        <v>-0.118886545309872</v>
      </c>
      <c r="D54" s="23">
        <v>-0.368150864813993</v>
      </c>
    </row>
    <row r="55" spans="1:4">
      <c r="A55" s="23">
        <v>29</v>
      </c>
      <c r="B55" s="23">
        <v>0.124111562048393</v>
      </c>
      <c r="C55" s="23">
        <v>-0.124111562048393</v>
      </c>
      <c r="D55" s="23">
        <v>-0.384330950003115</v>
      </c>
    </row>
    <row r="56" spans="1:4">
      <c r="A56" s="23">
        <v>30</v>
      </c>
      <c r="B56" s="23">
        <v>0.122987301850125</v>
      </c>
      <c r="C56" s="23">
        <v>-0.122987301850125</v>
      </c>
      <c r="D56" s="23">
        <v>-0.380849501676144</v>
      </c>
    </row>
    <row r="57" spans="1:4">
      <c r="A57" s="23">
        <v>31</v>
      </c>
      <c r="B57" s="23">
        <v>0.116210480703675</v>
      </c>
      <c r="C57" s="23">
        <v>-0.116210480703675</v>
      </c>
      <c r="D57" s="23">
        <v>-0.359864010346975</v>
      </c>
    </row>
    <row r="58" spans="1:4">
      <c r="A58" s="23">
        <v>32</v>
      </c>
      <c r="B58" s="23">
        <v>0.121439051759897</v>
      </c>
      <c r="C58" s="23">
        <v>-0.121439051759897</v>
      </c>
      <c r="D58" s="23">
        <v>-0.376055102039245</v>
      </c>
    </row>
    <row r="59" spans="1:4">
      <c r="A59" s="23">
        <v>33</v>
      </c>
      <c r="B59" s="23">
        <v>0.119941994487795</v>
      </c>
      <c r="C59" s="23">
        <v>0.880058005512205</v>
      </c>
      <c r="D59" s="23">
        <v>2.7252378725559</v>
      </c>
    </row>
    <row r="60" spans="1:4">
      <c r="A60" s="23">
        <v>34</v>
      </c>
      <c r="B60" s="23">
        <v>0.120387606332093</v>
      </c>
      <c r="C60" s="23">
        <v>-0.120387606332093</v>
      </c>
      <c r="D60" s="23">
        <v>-0.372799136088333</v>
      </c>
    </row>
    <row r="61" spans="1:4">
      <c r="A61" s="23">
        <v>35</v>
      </c>
      <c r="B61" s="23">
        <v>0.116745548334633</v>
      </c>
      <c r="C61" s="23">
        <v>-0.116745548334633</v>
      </c>
      <c r="D61" s="23">
        <v>-0.361520931326197</v>
      </c>
    </row>
    <row r="62" spans="1:4">
      <c r="A62" s="23">
        <v>36</v>
      </c>
      <c r="B62" s="23">
        <v>0.117701654099007</v>
      </c>
      <c r="C62" s="23">
        <v>-0.117701654099007</v>
      </c>
      <c r="D62" s="23">
        <v>-0.364481663031289</v>
      </c>
    </row>
    <row r="63" spans="1:4">
      <c r="A63" s="23">
        <v>37</v>
      </c>
      <c r="B63" s="23">
        <v>0.11889669978524</v>
      </c>
      <c r="C63" s="23">
        <v>-0.11889669978524</v>
      </c>
      <c r="D63" s="23">
        <v>-0.368182309742253</v>
      </c>
    </row>
    <row r="64" spans="1:4">
      <c r="A64" s="23">
        <v>38</v>
      </c>
      <c r="B64" s="23">
        <v>0.121015986465676</v>
      </c>
      <c r="C64" s="23">
        <v>-0.121015986465676</v>
      </c>
      <c r="D64" s="23">
        <v>-0.374745013891474</v>
      </c>
    </row>
    <row r="65" spans="1:4">
      <c r="A65" s="23">
        <v>39</v>
      </c>
      <c r="B65" s="23">
        <v>0.1206626666097</v>
      </c>
      <c r="C65" s="23">
        <v>-0.1206626666097</v>
      </c>
      <c r="D65" s="23">
        <v>-0.373650903450342</v>
      </c>
    </row>
    <row r="66" spans="1:4">
      <c r="A66" s="23">
        <v>40</v>
      </c>
      <c r="B66" s="23">
        <v>0.119893078645864</v>
      </c>
      <c r="C66" s="23">
        <v>-0.119893078645864</v>
      </c>
      <c r="D66" s="23">
        <v>-0.371267753416852</v>
      </c>
    </row>
    <row r="67" spans="1:4">
      <c r="A67" s="23">
        <v>41</v>
      </c>
      <c r="B67" s="23">
        <v>0.119257014891176</v>
      </c>
      <c r="C67" s="23">
        <v>-0.119257014891176</v>
      </c>
      <c r="D67" s="23">
        <v>-0.369298082073852</v>
      </c>
    </row>
    <row r="68" spans="1:4">
      <c r="A68" s="23">
        <v>42</v>
      </c>
      <c r="B68" s="23">
        <v>0.120498373703997</v>
      </c>
      <c r="C68" s="23">
        <v>-0.120498373703997</v>
      </c>
      <c r="D68" s="23">
        <v>-0.373142144657161</v>
      </c>
    </row>
    <row r="69" spans="1:4">
      <c r="A69" s="23">
        <v>43</v>
      </c>
      <c r="B69" s="23">
        <v>0.120028178513585</v>
      </c>
      <c r="C69" s="23">
        <v>-0.120028178513585</v>
      </c>
      <c r="D69" s="23">
        <v>-0.37168611138165</v>
      </c>
    </row>
    <row r="70" spans="1:4">
      <c r="A70" s="23">
        <v>44</v>
      </c>
      <c r="B70" s="23">
        <v>0.118553888902942</v>
      </c>
      <c r="C70" s="23">
        <v>-0.118553888902942</v>
      </c>
      <c r="D70" s="23">
        <v>-0.367120741989095</v>
      </c>
    </row>
    <row r="71" spans="1:4">
      <c r="A71" s="23">
        <v>45</v>
      </c>
      <c r="B71" s="23">
        <v>0.118411855465383</v>
      </c>
      <c r="C71" s="23">
        <v>-0.118411855465383</v>
      </c>
      <c r="D71" s="23">
        <v>-0.366680913136019</v>
      </c>
    </row>
    <row r="72" spans="1:4">
      <c r="A72" s="23">
        <v>46</v>
      </c>
      <c r="B72" s="23">
        <v>0.115680420365185</v>
      </c>
      <c r="C72" s="23">
        <v>-0.115680420365185</v>
      </c>
      <c r="D72" s="23">
        <v>-0.358222595235535</v>
      </c>
    </row>
    <row r="73" spans="1:4">
      <c r="A73" s="23">
        <v>47</v>
      </c>
      <c r="B73" s="23">
        <v>0.115419178957545</v>
      </c>
      <c r="C73" s="23">
        <v>-0.115419178957545</v>
      </c>
      <c r="D73" s="23">
        <v>-0.357413620175344</v>
      </c>
    </row>
    <row r="74" spans="1:4">
      <c r="A74" s="23">
        <v>48</v>
      </c>
      <c r="B74" s="23">
        <v>0.116157354605051</v>
      </c>
      <c r="C74" s="23">
        <v>0.883842645394949</v>
      </c>
      <c r="D74" s="23">
        <v>2.73695760452566</v>
      </c>
    </row>
    <row r="75" spans="1:4">
      <c r="A75" s="23">
        <v>49</v>
      </c>
      <c r="B75" s="23">
        <v>0.117451270087531</v>
      </c>
      <c r="C75" s="23">
        <v>-0.117451270087531</v>
      </c>
      <c r="D75" s="23">
        <v>-0.363706309604034</v>
      </c>
    </row>
    <row r="76" spans="1:4">
      <c r="A76" s="23">
        <v>50</v>
      </c>
      <c r="B76" s="23">
        <v>0.11540500804783</v>
      </c>
      <c r="C76" s="23">
        <v>-0.11540500804783</v>
      </c>
      <c r="D76" s="23">
        <v>-0.357369737727138</v>
      </c>
    </row>
    <row r="77" spans="1:4">
      <c r="A77" s="23">
        <v>51</v>
      </c>
      <c r="B77" s="23">
        <v>0.116004277931295</v>
      </c>
      <c r="C77" s="23">
        <v>0.883995722068705</v>
      </c>
      <c r="D77" s="23">
        <v>2.73743163049453</v>
      </c>
    </row>
    <row r="78" spans="1:4">
      <c r="A78" s="23">
        <v>52</v>
      </c>
      <c r="B78" s="23">
        <v>0.113744618437152</v>
      </c>
      <c r="C78" s="23">
        <v>-0.113744618437152</v>
      </c>
      <c r="D78" s="23">
        <v>-0.352228080447873</v>
      </c>
    </row>
    <row r="79" spans="1:4">
      <c r="A79" s="23">
        <v>53</v>
      </c>
      <c r="B79" s="23">
        <v>0.113640965539099</v>
      </c>
      <c r="C79" s="23">
        <v>-0.113640965539099</v>
      </c>
      <c r="D79" s="23">
        <v>-0.351907102965018</v>
      </c>
    </row>
    <row r="80" spans="1:4">
      <c r="A80" s="23">
        <v>54</v>
      </c>
      <c r="B80" s="23">
        <v>0.114545805746337</v>
      </c>
      <c r="C80" s="23">
        <v>-0.114545805746337</v>
      </c>
      <c r="D80" s="23">
        <v>-0.35470908281854</v>
      </c>
    </row>
    <row r="81" spans="1:4">
      <c r="A81" s="23">
        <v>55</v>
      </c>
      <c r="B81" s="23">
        <v>0.115364874096932</v>
      </c>
      <c r="C81" s="23">
        <v>-0.115364874096932</v>
      </c>
      <c r="D81" s="23">
        <v>-0.357245456643075</v>
      </c>
    </row>
    <row r="82" spans="1:4">
      <c r="A82" s="23">
        <v>56</v>
      </c>
      <c r="B82" s="23">
        <v>0.116643244275093</v>
      </c>
      <c r="C82" s="23">
        <v>0.883356755724907</v>
      </c>
      <c r="D82" s="23">
        <v>2.73545297082835</v>
      </c>
    </row>
    <row r="83" spans="1:4">
      <c r="A83" s="23">
        <v>57</v>
      </c>
      <c r="B83" s="23">
        <v>0.115254305381767</v>
      </c>
      <c r="C83" s="23">
        <v>-0.115254305381767</v>
      </c>
      <c r="D83" s="23">
        <v>-0.356903063246049</v>
      </c>
    </row>
    <row r="84" spans="1:4">
      <c r="A84" s="23">
        <v>58</v>
      </c>
      <c r="B84" s="23">
        <v>0.111936623427258</v>
      </c>
      <c r="C84" s="23">
        <v>-0.111936623427258</v>
      </c>
      <c r="D84" s="23">
        <v>-0.346629339860895</v>
      </c>
    </row>
    <row r="85" spans="1:4">
      <c r="A85" s="23">
        <v>59</v>
      </c>
      <c r="B85" s="23">
        <v>0.11204550839617</v>
      </c>
      <c r="C85" s="23">
        <v>0.88795449160383</v>
      </c>
      <c r="D85" s="23">
        <v>2.74969058228892</v>
      </c>
    </row>
    <row r="86" spans="1:4">
      <c r="A86" s="23">
        <v>60</v>
      </c>
      <c r="B86" s="23">
        <v>0.109697711254677</v>
      </c>
      <c r="C86" s="23">
        <v>-0.109697711254677</v>
      </c>
      <c r="D86" s="23">
        <v>-0.339696196581899</v>
      </c>
    </row>
    <row r="87" spans="1:4">
      <c r="A87" s="23">
        <v>61</v>
      </c>
      <c r="B87" s="23">
        <v>0.11510106012976</v>
      </c>
      <c r="C87" s="23">
        <v>0.88489893987024</v>
      </c>
      <c r="D87" s="23">
        <v>2.74022858631391</v>
      </c>
    </row>
    <row r="88" spans="1:4">
      <c r="A88" s="23">
        <v>62</v>
      </c>
      <c r="B88" s="23">
        <v>0.114918100004642</v>
      </c>
      <c r="C88" s="23">
        <v>-0.114918100004642</v>
      </c>
      <c r="D88" s="23">
        <v>-0.355861950477392</v>
      </c>
    </row>
    <row r="89" spans="1:4">
      <c r="A89" s="23">
        <v>63</v>
      </c>
      <c r="B89" s="23">
        <v>0.11505829147584</v>
      </c>
      <c r="C89" s="23">
        <v>-0.11505829147584</v>
      </c>
      <c r="D89" s="23">
        <v>-0.356296075392257</v>
      </c>
    </row>
    <row r="90" spans="1:4">
      <c r="A90" s="23">
        <v>64</v>
      </c>
      <c r="B90" s="23">
        <v>0.114317512006741</v>
      </c>
      <c r="C90" s="23">
        <v>-0.114317512006741</v>
      </c>
      <c r="D90" s="23">
        <v>-0.35400213538858</v>
      </c>
    </row>
    <row r="91" spans="1:4">
      <c r="A91" s="23">
        <v>65</v>
      </c>
      <c r="B91" s="23">
        <v>0.113818077729256</v>
      </c>
      <c r="C91" s="23">
        <v>-0.113818077729256</v>
      </c>
      <c r="D91" s="23">
        <v>-0.352455558686441</v>
      </c>
    </row>
    <row r="92" spans="1:4">
      <c r="A92" s="23">
        <v>66</v>
      </c>
      <c r="B92" s="23">
        <v>0.111887736267736</v>
      </c>
      <c r="C92" s="23">
        <v>-0.111887736267736</v>
      </c>
      <c r="D92" s="23">
        <v>-0.346477953091186</v>
      </c>
    </row>
    <row r="93" spans="1:4">
      <c r="A93" s="23">
        <v>67</v>
      </c>
      <c r="B93" s="23">
        <v>0.112366940894857</v>
      </c>
      <c r="C93" s="23">
        <v>-0.112366940894857</v>
      </c>
      <c r="D93" s="23">
        <v>-0.347961885502863</v>
      </c>
    </row>
    <row r="94" spans="1:4">
      <c r="A94" s="23">
        <v>68</v>
      </c>
      <c r="B94" s="23">
        <v>0.111894997485912</v>
      </c>
      <c r="C94" s="23">
        <v>-0.111894997485912</v>
      </c>
      <c r="D94" s="23">
        <v>-0.346500438594018</v>
      </c>
    </row>
    <row r="95" spans="1:4">
      <c r="A95" s="23">
        <v>69</v>
      </c>
      <c r="B95" s="23">
        <v>0.113023039674624</v>
      </c>
      <c r="C95" s="23">
        <v>0.886976960325376</v>
      </c>
      <c r="D95" s="23">
        <v>2.7466635031135</v>
      </c>
    </row>
    <row r="96" spans="1:4">
      <c r="A96" s="23">
        <v>70</v>
      </c>
      <c r="B96" s="23">
        <v>0.113489354709266</v>
      </c>
      <c r="C96" s="23">
        <v>-0.113489354709266</v>
      </c>
      <c r="D96" s="23">
        <v>-0.351437616212144</v>
      </c>
    </row>
    <row r="97" spans="1:4">
      <c r="A97" s="23">
        <v>71</v>
      </c>
      <c r="B97" s="23">
        <v>0.112637050267768</v>
      </c>
      <c r="C97" s="23">
        <v>-0.112637050267768</v>
      </c>
      <c r="D97" s="23">
        <v>-0.348798321610685</v>
      </c>
    </row>
    <row r="98" spans="1:4">
      <c r="A98" s="23">
        <v>72</v>
      </c>
      <c r="B98" s="23">
        <v>0.11200671057198</v>
      </c>
      <c r="C98" s="23">
        <v>-0.11200671057198</v>
      </c>
      <c r="D98" s="23">
        <v>-0.346846375715326</v>
      </c>
    </row>
    <row r="99" spans="1:4">
      <c r="A99" s="23">
        <v>73</v>
      </c>
      <c r="B99" s="23">
        <v>0.112722714268698</v>
      </c>
      <c r="C99" s="23">
        <v>-0.112722714268698</v>
      </c>
      <c r="D99" s="23">
        <v>-0.349063593647513</v>
      </c>
    </row>
    <row r="100" spans="1:4">
      <c r="A100" s="23">
        <v>74</v>
      </c>
      <c r="B100" s="23">
        <v>0.115234268764902</v>
      </c>
      <c r="C100" s="23">
        <v>-0.115234268764902</v>
      </c>
      <c r="D100" s="23">
        <v>-0.356841016714144</v>
      </c>
    </row>
    <row r="101" spans="1:4">
      <c r="A101" s="23">
        <v>75</v>
      </c>
      <c r="B101" s="23">
        <v>0.133803508779431</v>
      </c>
      <c r="C101" s="23">
        <v>-0.133803508779431</v>
      </c>
      <c r="D101" s="23">
        <v>-0.414343585675744</v>
      </c>
    </row>
    <row r="102" spans="1:4">
      <c r="A102" s="23">
        <v>76</v>
      </c>
      <c r="B102" s="23">
        <v>0.117797871362183</v>
      </c>
      <c r="C102" s="23">
        <v>-0.117797871362183</v>
      </c>
      <c r="D102" s="23">
        <v>-0.364779614902598</v>
      </c>
    </row>
    <row r="103" spans="1:4">
      <c r="A103" s="23">
        <v>77</v>
      </c>
      <c r="B103" s="23">
        <v>0.117797871362183</v>
      </c>
      <c r="C103" s="23">
        <v>-0.117797871362183</v>
      </c>
      <c r="D103" s="23">
        <v>-0.364779614902598</v>
      </c>
    </row>
    <row r="104" spans="1:4">
      <c r="A104" s="23">
        <v>78</v>
      </c>
      <c r="B104" s="23">
        <v>0.117715305941446</v>
      </c>
      <c r="C104" s="23">
        <v>-0.117715305941446</v>
      </c>
      <c r="D104" s="23">
        <v>-0.364523938106128</v>
      </c>
    </row>
    <row r="105" spans="1:4">
      <c r="A105" s="23">
        <v>79</v>
      </c>
      <c r="B105" s="23">
        <v>0.117048682584547</v>
      </c>
      <c r="C105" s="23">
        <v>-0.117048682584547</v>
      </c>
      <c r="D105" s="23">
        <v>-0.362459634153918</v>
      </c>
    </row>
    <row r="106" spans="1:4">
      <c r="A106" s="23">
        <v>80</v>
      </c>
      <c r="B106" s="23">
        <v>0.114116296055994</v>
      </c>
      <c r="C106" s="23">
        <v>-0.114116296055994</v>
      </c>
      <c r="D106" s="23">
        <v>-0.353379038585751</v>
      </c>
    </row>
    <row r="107" spans="1:4">
      <c r="A107" s="23">
        <v>81</v>
      </c>
      <c r="B107" s="23">
        <v>0.116333413228036</v>
      </c>
      <c r="C107" s="23">
        <v>-0.116333413228036</v>
      </c>
      <c r="D107" s="23">
        <v>-0.360244690221551</v>
      </c>
    </row>
    <row r="108" spans="1:4">
      <c r="A108" s="23">
        <v>82</v>
      </c>
      <c r="B108" s="23">
        <v>0.114930904356105</v>
      </c>
      <c r="C108" s="23">
        <v>-0.114930904356105</v>
      </c>
      <c r="D108" s="23">
        <v>-0.355901601163281</v>
      </c>
    </row>
    <row r="109" spans="1:4">
      <c r="A109" s="23">
        <v>83</v>
      </c>
      <c r="B109" s="23">
        <v>0.113367665706296</v>
      </c>
      <c r="C109" s="23">
        <v>-0.113367665706296</v>
      </c>
      <c r="D109" s="23">
        <v>-0.351060787096914</v>
      </c>
    </row>
    <row r="110" spans="1:4">
      <c r="A110" s="23">
        <v>84</v>
      </c>
      <c r="B110" s="23">
        <v>0.112772805050964</v>
      </c>
      <c r="C110" s="23">
        <v>-0.112772805050964</v>
      </c>
      <c r="D110" s="23">
        <v>-0.349218707624139</v>
      </c>
    </row>
    <row r="111" spans="1:4">
      <c r="A111" s="23">
        <v>85</v>
      </c>
      <c r="B111" s="23">
        <v>0.110898590905873</v>
      </c>
      <c r="C111" s="23">
        <v>-0.110898590905873</v>
      </c>
      <c r="D111" s="23">
        <v>-0.343414909081897</v>
      </c>
    </row>
    <row r="112" spans="1:4">
      <c r="A112" s="23">
        <v>86</v>
      </c>
      <c r="B112" s="23">
        <v>0.111181123772906</v>
      </c>
      <c r="C112" s="23">
        <v>-0.111181123772906</v>
      </c>
      <c r="D112" s="23">
        <v>-0.34428981649102</v>
      </c>
    </row>
    <row r="113" spans="1:4">
      <c r="A113" s="23">
        <v>87</v>
      </c>
      <c r="B113" s="23">
        <v>0.111029757902471</v>
      </c>
      <c r="C113" s="23">
        <v>0.888970242097529</v>
      </c>
      <c r="D113" s="23">
        <v>2.75283601326865</v>
      </c>
    </row>
    <row r="114" spans="1:4">
      <c r="A114" s="23">
        <v>88</v>
      </c>
      <c r="B114" s="23">
        <v>0.110924042702037</v>
      </c>
      <c r="C114" s="23">
        <v>0.889075957297963</v>
      </c>
      <c r="D114" s="23">
        <v>2.75316337699481</v>
      </c>
    </row>
    <row r="115" spans="1:4">
      <c r="A115" s="23">
        <v>89</v>
      </c>
      <c r="B115" s="23">
        <v>0.110840384775771</v>
      </c>
      <c r="C115" s="23">
        <v>-0.110840384775771</v>
      </c>
      <c r="D115" s="23">
        <v>-0.343234664655761</v>
      </c>
    </row>
    <row r="116" spans="1:4">
      <c r="A116" s="23">
        <v>90</v>
      </c>
      <c r="B116" s="23">
        <v>0.110689873275079</v>
      </c>
      <c r="C116" s="23">
        <v>-0.110689873275079</v>
      </c>
      <c r="D116" s="23">
        <v>-0.342768582148276</v>
      </c>
    </row>
    <row r="117" spans="1:4">
      <c r="A117" s="23">
        <v>91</v>
      </c>
      <c r="B117" s="23">
        <v>0.110873139109709</v>
      </c>
      <c r="C117" s="23">
        <v>-0.110873139109709</v>
      </c>
      <c r="D117" s="23">
        <v>-0.343336093596558</v>
      </c>
    </row>
    <row r="118" spans="1:4">
      <c r="A118" s="23">
        <v>92</v>
      </c>
      <c r="B118" s="23">
        <v>0.111609503542509</v>
      </c>
      <c r="C118" s="23">
        <v>-0.111609503542509</v>
      </c>
      <c r="D118" s="23">
        <v>-0.345616361746725</v>
      </c>
    </row>
    <row r="119" spans="1:4">
      <c r="A119" s="23">
        <v>93</v>
      </c>
      <c r="B119" s="23">
        <v>0.109734056736503</v>
      </c>
      <c r="C119" s="23">
        <v>-0.109734056736503</v>
      </c>
      <c r="D119" s="23">
        <v>-0.339808746076305</v>
      </c>
    </row>
    <row r="120" spans="1:4">
      <c r="A120" s="23">
        <v>94</v>
      </c>
      <c r="B120" s="23">
        <v>0.110037073340827</v>
      </c>
      <c r="C120" s="23">
        <v>-0.110037073340827</v>
      </c>
      <c r="D120" s="23">
        <v>-0.340747084595977</v>
      </c>
    </row>
    <row r="121" spans="1:4">
      <c r="A121" s="23">
        <v>95</v>
      </c>
      <c r="B121" s="23">
        <v>0.109262057315051</v>
      </c>
      <c r="C121" s="23">
        <v>-0.109262057315051</v>
      </c>
      <c r="D121" s="23">
        <v>-0.338347125715933</v>
      </c>
    </row>
    <row r="122" spans="1:4">
      <c r="A122" s="23">
        <v>96</v>
      </c>
      <c r="B122" s="23">
        <v>0.109297258373525</v>
      </c>
      <c r="C122" s="23">
        <v>-0.109297258373525</v>
      </c>
      <c r="D122" s="23">
        <v>-0.338456131323638</v>
      </c>
    </row>
    <row r="123" spans="1:4">
      <c r="A123" s="23">
        <v>97</v>
      </c>
      <c r="B123" s="23">
        <v>0.107187394692317</v>
      </c>
      <c r="C123" s="23">
        <v>-0.107187394692317</v>
      </c>
      <c r="D123" s="23">
        <v>-0.331922606971899</v>
      </c>
    </row>
    <row r="124" spans="1:4">
      <c r="A124" s="23">
        <v>98</v>
      </c>
      <c r="B124" s="23">
        <v>0.105890498280645</v>
      </c>
      <c r="C124" s="23">
        <v>-0.105890498280645</v>
      </c>
      <c r="D124" s="23">
        <v>-0.327906563488703</v>
      </c>
    </row>
    <row r="125" spans="1:4">
      <c r="A125" s="23">
        <v>99</v>
      </c>
      <c r="B125" s="23">
        <v>0.105724055615771</v>
      </c>
      <c r="C125" s="23">
        <v>-0.105724055615771</v>
      </c>
      <c r="D125" s="23">
        <v>-0.327391147628519</v>
      </c>
    </row>
    <row r="126" spans="1:4">
      <c r="A126" s="23">
        <v>100</v>
      </c>
      <c r="B126" s="23">
        <v>0.104322354606535</v>
      </c>
      <c r="C126" s="23">
        <v>-0.104322354606535</v>
      </c>
      <c r="D126" s="23">
        <v>-0.323050560244001</v>
      </c>
    </row>
    <row r="127" spans="1:4">
      <c r="A127" s="23">
        <v>101</v>
      </c>
      <c r="B127" s="23">
        <v>0.102711062778845</v>
      </c>
      <c r="C127" s="23">
        <v>-0.102711062778845</v>
      </c>
      <c r="D127" s="23">
        <v>-0.318060941963097</v>
      </c>
    </row>
    <row r="128" spans="1:4">
      <c r="A128" s="23">
        <v>102</v>
      </c>
      <c r="B128" s="23">
        <v>0.103965343789877</v>
      </c>
      <c r="C128" s="23">
        <v>-0.103965343789877</v>
      </c>
      <c r="D128" s="23">
        <v>-0.321945020163264</v>
      </c>
    </row>
    <row r="129" spans="1:4">
      <c r="A129" s="23">
        <v>103</v>
      </c>
      <c r="B129" s="23">
        <v>0.101247172572685</v>
      </c>
      <c r="C129" s="23">
        <v>-0.101247172572685</v>
      </c>
      <c r="D129" s="23">
        <v>-0.313527775960284</v>
      </c>
    </row>
    <row r="130" spans="1:4">
      <c r="A130" s="23">
        <v>104</v>
      </c>
      <c r="B130" s="23">
        <v>0.102600132071295</v>
      </c>
      <c r="C130" s="23">
        <v>-0.102600132071295</v>
      </c>
      <c r="D130" s="23">
        <v>-0.31771742759978</v>
      </c>
    </row>
    <row r="131" spans="1:4">
      <c r="A131" s="23">
        <v>105</v>
      </c>
      <c r="B131" s="23">
        <v>0.101064247393395</v>
      </c>
      <c r="C131" s="23">
        <v>-0.101064247393395</v>
      </c>
      <c r="D131" s="23">
        <v>-0.312961319404781</v>
      </c>
    </row>
    <row r="132" spans="1:4">
      <c r="A132" s="23">
        <v>106</v>
      </c>
      <c r="B132" s="23">
        <v>0.110195668462959</v>
      </c>
      <c r="C132" s="23">
        <v>-0.110195668462959</v>
      </c>
      <c r="D132" s="23">
        <v>-0.341238199307201</v>
      </c>
    </row>
    <row r="133" spans="1:4">
      <c r="A133" s="23">
        <v>107</v>
      </c>
      <c r="B133" s="23">
        <v>0.114545746749925</v>
      </c>
      <c r="C133" s="23">
        <v>-0.114545746749925</v>
      </c>
      <c r="D133" s="23">
        <v>-0.354708900126882</v>
      </c>
    </row>
    <row r="134" spans="1:4">
      <c r="A134" s="23">
        <v>108</v>
      </c>
      <c r="B134" s="23">
        <v>0.118968767085469</v>
      </c>
      <c r="C134" s="23">
        <v>-0.118968767085469</v>
      </c>
      <c r="D134" s="23">
        <v>-0.3684054774593</v>
      </c>
    </row>
    <row r="135" spans="1:4">
      <c r="A135" s="23">
        <v>109</v>
      </c>
      <c r="B135" s="23">
        <v>0.121656686926386</v>
      </c>
      <c r="C135" s="23">
        <v>0.878343313073614</v>
      </c>
      <c r="D135" s="23">
        <v>2.71992805803894</v>
      </c>
    </row>
    <row r="136" spans="1:4">
      <c r="A136" s="23">
        <v>110</v>
      </c>
      <c r="B136" s="23">
        <v>0.115635630793092</v>
      </c>
      <c r="C136" s="23">
        <v>-0.115635630793092</v>
      </c>
      <c r="D136" s="23">
        <v>-0.358083897289035</v>
      </c>
    </row>
    <row r="137" ht="14.75" spans="1:4">
      <c r="A137" s="24">
        <v>111</v>
      </c>
      <c r="B137" s="24">
        <v>0.155150515681071</v>
      </c>
      <c r="C137" s="24">
        <v>-0.155150515681071</v>
      </c>
      <c r="D137" s="24">
        <v>-0.480447946194803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3"/>
  <dimension ref="A1:M3113"/>
  <sheetViews>
    <sheetView tabSelected="1" workbookViewId="0">
      <selection activeCell="N70" sqref="N70"/>
    </sheetView>
  </sheetViews>
  <sheetFormatPr defaultColWidth="8.72727272727273" defaultRowHeight="14"/>
  <cols>
    <col min="1" max="1" width="15.0909090909091" style="3" customWidth="1"/>
    <col min="2" max="2" width="16.6363636363636" style="4" hidden="1" customWidth="1"/>
    <col min="3" max="3" width="17" style="4" hidden="1" customWidth="1"/>
    <col min="4" max="4" width="8.72727272727273" hidden="1" customWidth="1"/>
    <col min="5" max="5" width="12" hidden="1" customWidth="1"/>
    <col min="6" max="6" width="10" hidden="1" customWidth="1"/>
    <col min="7" max="8" width="9.81818181818182" style="5" hidden="1" customWidth="1"/>
    <col min="9" max="9" width="13.2727272727273" hidden="1" customWidth="1"/>
    <col min="10" max="10" width="11.6363636363636" hidden="1" customWidth="1"/>
    <col min="11" max="11" width="17.3636363636364" hidden="1" customWidth="1"/>
    <col min="13" max="13" width="12.3636363636364" customWidth="1"/>
    <col min="14" max="14" width="25.1818181818182" customWidth="1"/>
    <col min="15" max="15" width="14.2545454545455" customWidth="1"/>
  </cols>
  <sheetData>
    <row r="1" ht="42" spans="1:13">
      <c r="A1" s="6" t="s">
        <v>32</v>
      </c>
      <c r="B1" s="6"/>
      <c r="C1" s="6"/>
    </row>
    <row r="2" spans="1:13">
      <c r="A2" s="7" t="s">
        <v>33</v>
      </c>
      <c r="B2" s="8" t="s">
        <v>34</v>
      </c>
      <c r="C2" s="9"/>
    </row>
    <row r="3" spans="1:13">
      <c r="A3" s="10" t="s">
        <v>35</v>
      </c>
      <c r="B3" s="11" t="s">
        <v>36</v>
      </c>
      <c r="C3" s="12"/>
    </row>
    <row r="4" spans="1:13">
      <c r="A4" s="13" t="s">
        <v>37</v>
      </c>
      <c r="B4" s="14" t="s">
        <v>24</v>
      </c>
      <c r="C4" s="14" t="s">
        <v>25</v>
      </c>
      <c r="D4" t="s">
        <v>26</v>
      </c>
      <c r="E4" t="s">
        <v>38</v>
      </c>
      <c r="F4" t="s">
        <v>39</v>
      </c>
      <c r="G4" s="15" t="s">
        <v>40</v>
      </c>
      <c r="H4" s="15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</row>
    <row r="5" spans="1:13">
      <c r="A5" s="16" t="s">
        <v>47</v>
      </c>
      <c r="B5" s="17">
        <v>1604.11</v>
      </c>
      <c r="C5" s="17">
        <v>4841.2</v>
      </c>
      <c r="D5">
        <f>ROUND(C5/B5,2)</f>
        <v>3.02</v>
      </c>
      <c r="E5">
        <v>25</v>
      </c>
      <c r="F5" s="18">
        <v>112</v>
      </c>
      <c r="G5" s="5">
        <f>E5+F5</f>
        <v>137</v>
      </c>
      <c r="H5" s="5">
        <v>508</v>
      </c>
      <c r="I5">
        <f>ROUND(B5/$H5,2)</f>
        <v>3.16</v>
      </c>
      <c r="J5">
        <f>ROUND(C5/$H5,2)</f>
        <v>9.53</v>
      </c>
      <c r="K5">
        <f ca="1">LOOKUP(G5,lookup!$A$4:$B$16,lookup!$B$4:$B$16)</f>
        <v>2.81</v>
      </c>
      <c r="L5">
        <v>1</v>
      </c>
      <c r="M5">
        <v>1</v>
      </c>
    </row>
    <row r="6" hidden="1" spans="1:13">
      <c r="A6" s="16" t="s">
        <v>48</v>
      </c>
      <c r="B6" s="17">
        <v>1842.69</v>
      </c>
      <c r="C6" s="17">
        <v>5564.8</v>
      </c>
      <c r="D6">
        <f t="shared" ref="D6:D37" si="0">ROUND(C6/B6,2)</f>
        <v>3.02</v>
      </c>
      <c r="E6">
        <v>25</v>
      </c>
      <c r="F6" s="18">
        <v>111</v>
      </c>
      <c r="G6" s="5">
        <f t="shared" ref="G6:G37" si="1">E6+F6</f>
        <v>136</v>
      </c>
      <c r="H6" s="5">
        <v>512</v>
      </c>
      <c r="I6">
        <f t="shared" ref="I6:I37" si="2">ROUND(B6/H6,2)</f>
        <v>3.6</v>
      </c>
      <c r="J6">
        <f t="shared" ref="J6:J37" si="3">ROUND(C6/$H6,2)</f>
        <v>10.87</v>
      </c>
      <c r="K6">
        <f ca="1">LOOKUP(G6,lookup!$A$4:$B$16,lookup!$B$4:$B$16)</f>
        <v>2.81</v>
      </c>
      <c r="L6">
        <v>0</v>
      </c>
      <c r="M6">
        <v>0</v>
      </c>
    </row>
    <row r="7" hidden="1" spans="1:13">
      <c r="A7" s="16" t="s">
        <v>49</v>
      </c>
      <c r="B7" s="17">
        <v>1970.73</v>
      </c>
      <c r="C7" s="17">
        <v>5938</v>
      </c>
      <c r="D7">
        <f t="shared" si="0"/>
        <v>3.01</v>
      </c>
      <c r="E7">
        <v>25</v>
      </c>
      <c r="F7" s="18">
        <v>110</v>
      </c>
      <c r="G7" s="5">
        <f t="shared" si="1"/>
        <v>135</v>
      </c>
      <c r="H7" s="5">
        <v>613</v>
      </c>
      <c r="I7">
        <f t="shared" si="2"/>
        <v>3.21</v>
      </c>
      <c r="J7">
        <f t="shared" si="3"/>
        <v>9.69</v>
      </c>
      <c r="K7">
        <f ca="1">LOOKUP(G7,lookup!$A$4:$B$16,lookup!$B$4:$B$16)</f>
        <v>2.81</v>
      </c>
      <c r="L7">
        <v>0</v>
      </c>
      <c r="M7">
        <v>0</v>
      </c>
    </row>
    <row r="8" hidden="1" spans="1:13">
      <c r="A8" s="16" t="s">
        <v>50</v>
      </c>
      <c r="B8" s="17">
        <v>1813.17</v>
      </c>
      <c r="C8" s="17">
        <v>5193</v>
      </c>
      <c r="D8">
        <f t="shared" si="0"/>
        <v>2.86</v>
      </c>
      <c r="E8">
        <v>25</v>
      </c>
      <c r="F8" s="18">
        <v>109</v>
      </c>
      <c r="G8" s="5">
        <f t="shared" si="1"/>
        <v>134</v>
      </c>
      <c r="H8" s="5">
        <v>613</v>
      </c>
      <c r="I8">
        <f t="shared" si="2"/>
        <v>2.96</v>
      </c>
      <c r="J8">
        <f t="shared" si="3"/>
        <v>8.47</v>
      </c>
      <c r="K8">
        <f ca="1">LOOKUP(G8,lookup!$A$4:$B$16,lookup!$B$4:$B$16)</f>
        <v>2.81</v>
      </c>
      <c r="L8">
        <v>0</v>
      </c>
      <c r="M8">
        <v>0</v>
      </c>
    </row>
    <row r="9" hidden="1" spans="1:13">
      <c r="A9" s="16" t="s">
        <v>51</v>
      </c>
      <c r="B9" s="17">
        <v>1848.73</v>
      </c>
      <c r="C9" s="17">
        <v>5505.8</v>
      </c>
      <c r="D9">
        <f t="shared" si="0"/>
        <v>2.98</v>
      </c>
      <c r="E9">
        <v>25</v>
      </c>
      <c r="F9" s="18">
        <v>108</v>
      </c>
      <c r="G9" s="5">
        <f t="shared" si="1"/>
        <v>133</v>
      </c>
      <c r="H9" s="5">
        <v>613</v>
      </c>
      <c r="I9">
        <f t="shared" si="2"/>
        <v>3.02</v>
      </c>
      <c r="J9">
        <f t="shared" si="3"/>
        <v>8.98</v>
      </c>
      <c r="K9">
        <f ca="1">LOOKUP(G9,lookup!$A$4:$B$16,lookup!$B$4:$B$16)</f>
        <v>2.81</v>
      </c>
      <c r="L9">
        <v>0</v>
      </c>
      <c r="M9">
        <v>0</v>
      </c>
    </row>
    <row r="10" hidden="1" spans="1:13">
      <c r="A10" s="16" t="s">
        <v>52</v>
      </c>
      <c r="B10" s="17">
        <v>1723.65</v>
      </c>
      <c r="C10" s="17">
        <v>4960.5</v>
      </c>
      <c r="D10">
        <f t="shared" si="0"/>
        <v>2.88</v>
      </c>
      <c r="E10">
        <v>25</v>
      </c>
      <c r="F10" s="18">
        <v>107</v>
      </c>
      <c r="G10" s="5">
        <f t="shared" si="1"/>
        <v>132</v>
      </c>
      <c r="H10" s="5">
        <v>613</v>
      </c>
      <c r="I10">
        <f t="shared" si="2"/>
        <v>2.81</v>
      </c>
      <c r="J10">
        <f t="shared" si="3"/>
        <v>8.09</v>
      </c>
      <c r="K10">
        <f ca="1">LOOKUP(G10,lookup!$A$4:$B$16,lookup!$B$4:$B$16)</f>
        <v>2.51</v>
      </c>
      <c r="L10">
        <v>0</v>
      </c>
      <c r="M10">
        <v>0</v>
      </c>
    </row>
    <row r="11" hidden="1" spans="1:13">
      <c r="A11" s="16" t="s">
        <v>53</v>
      </c>
      <c r="B11" s="17">
        <v>1710.92</v>
      </c>
      <c r="C11" s="17">
        <v>5073.5</v>
      </c>
      <c r="D11">
        <f t="shared" si="0"/>
        <v>2.97</v>
      </c>
      <c r="E11">
        <v>25</v>
      </c>
      <c r="F11" s="18">
        <v>106</v>
      </c>
      <c r="G11" s="5">
        <f t="shared" si="1"/>
        <v>131</v>
      </c>
      <c r="H11" s="5">
        <v>613</v>
      </c>
      <c r="I11">
        <f t="shared" si="2"/>
        <v>2.79</v>
      </c>
      <c r="J11">
        <f t="shared" si="3"/>
        <v>8.28</v>
      </c>
      <c r="K11">
        <f ca="1">LOOKUP(G11,lookup!$A$4:$B$16,lookup!$B$4:$B$16)</f>
        <v>2.51</v>
      </c>
      <c r="L11">
        <v>0</v>
      </c>
      <c r="M11">
        <v>0</v>
      </c>
    </row>
    <row r="12" hidden="1" spans="1:13">
      <c r="A12" s="16" t="s">
        <v>54</v>
      </c>
      <c r="B12" s="17">
        <v>1805.76</v>
      </c>
      <c r="C12" s="17">
        <v>5528.6</v>
      </c>
      <c r="D12">
        <f t="shared" si="0"/>
        <v>3.06</v>
      </c>
      <c r="E12">
        <v>25</v>
      </c>
      <c r="F12" s="18">
        <v>105</v>
      </c>
      <c r="G12" s="5">
        <f t="shared" si="1"/>
        <v>130</v>
      </c>
      <c r="H12" s="5">
        <v>613</v>
      </c>
      <c r="I12">
        <f t="shared" si="2"/>
        <v>2.95</v>
      </c>
      <c r="J12">
        <f t="shared" si="3"/>
        <v>9.02</v>
      </c>
      <c r="K12">
        <f ca="1">LOOKUP(G12,lookup!$A$4:$B$16,lookup!$B$4:$B$16)</f>
        <v>2.51</v>
      </c>
      <c r="L12">
        <v>0</v>
      </c>
      <c r="M12">
        <v>0</v>
      </c>
    </row>
    <row r="13" hidden="1" spans="1:13">
      <c r="A13" s="16" t="s">
        <v>55</v>
      </c>
      <c r="B13" s="17">
        <v>1744.08</v>
      </c>
      <c r="C13" s="17">
        <v>5076.4</v>
      </c>
      <c r="D13">
        <f t="shared" si="0"/>
        <v>2.91</v>
      </c>
      <c r="E13">
        <v>25</v>
      </c>
      <c r="F13" s="18">
        <v>104</v>
      </c>
      <c r="G13" s="5">
        <f t="shared" si="1"/>
        <v>129</v>
      </c>
      <c r="H13" s="5">
        <v>613</v>
      </c>
      <c r="I13">
        <f t="shared" si="2"/>
        <v>2.85</v>
      </c>
      <c r="J13">
        <f t="shared" si="3"/>
        <v>8.28</v>
      </c>
      <c r="K13">
        <f ca="1">LOOKUP(G13,lookup!$A$4:$B$16,lookup!$B$4:$B$16)</f>
        <v>2.51</v>
      </c>
      <c r="L13">
        <v>0</v>
      </c>
      <c r="M13">
        <v>0</v>
      </c>
    </row>
    <row r="14" hidden="1" spans="1:13">
      <c r="A14" s="16" t="s">
        <v>56</v>
      </c>
      <c r="B14" s="17">
        <v>1770.68</v>
      </c>
      <c r="C14" s="17">
        <v>5275.8</v>
      </c>
      <c r="D14">
        <f t="shared" si="0"/>
        <v>2.98</v>
      </c>
      <c r="E14">
        <v>25</v>
      </c>
      <c r="F14" s="18">
        <v>103</v>
      </c>
      <c r="G14" s="5">
        <f t="shared" si="1"/>
        <v>128</v>
      </c>
      <c r="H14" s="5">
        <v>613</v>
      </c>
      <c r="I14">
        <f t="shared" si="2"/>
        <v>2.89</v>
      </c>
      <c r="J14">
        <f t="shared" si="3"/>
        <v>8.61</v>
      </c>
      <c r="K14">
        <f ca="1">LOOKUP(G14,lookup!$A$4:$B$16,lookup!$B$4:$B$16)</f>
        <v>2.51</v>
      </c>
      <c r="L14">
        <v>0</v>
      </c>
      <c r="M14">
        <v>0</v>
      </c>
    </row>
    <row r="15" hidden="1" spans="1:13">
      <c r="A15" s="16" t="s">
        <v>57</v>
      </c>
      <c r="B15" s="17">
        <v>1746.74</v>
      </c>
      <c r="C15" s="17">
        <v>5237.9</v>
      </c>
      <c r="D15">
        <f t="shared" si="0"/>
        <v>3</v>
      </c>
      <c r="E15">
        <v>25</v>
      </c>
      <c r="F15" s="18">
        <v>102</v>
      </c>
      <c r="G15" s="5">
        <f t="shared" si="1"/>
        <v>127</v>
      </c>
      <c r="H15" s="5">
        <v>613</v>
      </c>
      <c r="I15">
        <f t="shared" si="2"/>
        <v>2.85</v>
      </c>
      <c r="J15">
        <f t="shared" si="3"/>
        <v>8.54</v>
      </c>
      <c r="K15">
        <f ca="1">LOOKUP(G15,lookup!$A$4:$B$16,lookup!$B$4:$B$16)</f>
        <v>2.51</v>
      </c>
      <c r="L15">
        <v>0</v>
      </c>
      <c r="M15">
        <v>0</v>
      </c>
    </row>
    <row r="16" hidden="1" spans="1:13">
      <c r="A16" s="16" t="s">
        <v>58</v>
      </c>
      <c r="B16" s="17">
        <v>1692.94</v>
      </c>
      <c r="C16" s="17">
        <v>5076.3</v>
      </c>
      <c r="D16">
        <f t="shared" si="0"/>
        <v>3</v>
      </c>
      <c r="E16">
        <v>25</v>
      </c>
      <c r="F16" s="18">
        <v>101</v>
      </c>
      <c r="G16" s="5">
        <f t="shared" si="1"/>
        <v>126</v>
      </c>
      <c r="H16" s="5">
        <v>613</v>
      </c>
      <c r="I16">
        <f t="shared" si="2"/>
        <v>2.76</v>
      </c>
      <c r="J16">
        <f t="shared" si="3"/>
        <v>8.28</v>
      </c>
      <c r="K16">
        <f ca="1">LOOKUP(G16,lookup!$A$4:$B$16,lookup!$B$4:$B$16)</f>
        <v>2.51</v>
      </c>
      <c r="L16">
        <v>0</v>
      </c>
      <c r="M16">
        <v>0</v>
      </c>
    </row>
    <row r="17" hidden="1" spans="1:13">
      <c r="A17" s="16" t="s">
        <v>59</v>
      </c>
      <c r="B17" s="17">
        <v>1733.43</v>
      </c>
      <c r="C17" s="17">
        <v>5212.3</v>
      </c>
      <c r="D17">
        <f t="shared" si="0"/>
        <v>3.01</v>
      </c>
      <c r="E17">
        <v>25</v>
      </c>
      <c r="F17" s="18">
        <v>100</v>
      </c>
      <c r="G17" s="5">
        <f t="shared" si="1"/>
        <v>125</v>
      </c>
      <c r="H17" s="5">
        <v>613</v>
      </c>
      <c r="I17">
        <f t="shared" si="2"/>
        <v>2.83</v>
      </c>
      <c r="J17">
        <f t="shared" si="3"/>
        <v>8.5</v>
      </c>
      <c r="K17">
        <f ca="1">LOOKUP(G17,lookup!$A$4:$B$16,lookup!$B$4:$B$16)</f>
        <v>2.51</v>
      </c>
      <c r="L17">
        <v>0</v>
      </c>
      <c r="M17">
        <v>0</v>
      </c>
    </row>
    <row r="18" hidden="1" spans="1:13">
      <c r="A18" s="16" t="s">
        <v>60</v>
      </c>
      <c r="B18" s="17">
        <v>1849.52</v>
      </c>
      <c r="C18" s="17">
        <v>5585.6</v>
      </c>
      <c r="D18">
        <f t="shared" si="0"/>
        <v>3.02</v>
      </c>
      <c r="E18">
        <v>25</v>
      </c>
      <c r="F18" s="18">
        <v>99</v>
      </c>
      <c r="G18" s="5">
        <f t="shared" si="1"/>
        <v>124</v>
      </c>
      <c r="H18" s="5">
        <v>613</v>
      </c>
      <c r="I18">
        <f t="shared" si="2"/>
        <v>3.02</v>
      </c>
      <c r="J18">
        <f t="shared" si="3"/>
        <v>9.11</v>
      </c>
      <c r="K18">
        <f ca="1">LOOKUP(G18,lookup!$A$4:$B$16,lookup!$B$4:$B$16)</f>
        <v>2.51</v>
      </c>
      <c r="L18">
        <v>0</v>
      </c>
      <c r="M18">
        <v>0</v>
      </c>
    </row>
    <row r="19" hidden="1" spans="1:13">
      <c r="A19" s="16" t="s">
        <v>61</v>
      </c>
      <c r="B19" s="17">
        <v>1700.14</v>
      </c>
      <c r="C19" s="17">
        <v>4996.1</v>
      </c>
      <c r="D19">
        <f t="shared" si="0"/>
        <v>2.94</v>
      </c>
      <c r="E19">
        <v>25</v>
      </c>
      <c r="F19" s="18">
        <v>98</v>
      </c>
      <c r="G19" s="5">
        <f t="shared" si="1"/>
        <v>123</v>
      </c>
      <c r="H19" s="5">
        <v>613</v>
      </c>
      <c r="I19">
        <f t="shared" si="2"/>
        <v>2.77</v>
      </c>
      <c r="J19">
        <f t="shared" si="3"/>
        <v>8.15</v>
      </c>
      <c r="K19">
        <f ca="1">LOOKUP(G19,lookup!$A$4:$B$16,lookup!$B$4:$B$16)</f>
        <v>2.51</v>
      </c>
      <c r="L19">
        <v>0</v>
      </c>
      <c r="M19">
        <v>0</v>
      </c>
    </row>
    <row r="20" hidden="1" spans="1:13">
      <c r="A20" s="16" t="s">
        <v>62</v>
      </c>
      <c r="B20" s="17">
        <v>1633.24</v>
      </c>
      <c r="C20" s="17">
        <v>4729.1</v>
      </c>
      <c r="D20">
        <f t="shared" si="0"/>
        <v>2.9</v>
      </c>
      <c r="E20">
        <v>25</v>
      </c>
      <c r="F20" s="18">
        <v>97</v>
      </c>
      <c r="G20" s="5">
        <f t="shared" si="1"/>
        <v>122</v>
      </c>
      <c r="H20" s="5">
        <v>613</v>
      </c>
      <c r="I20">
        <f t="shared" si="2"/>
        <v>2.66</v>
      </c>
      <c r="J20">
        <f t="shared" si="3"/>
        <v>7.71</v>
      </c>
      <c r="K20">
        <f ca="1">LOOKUP(G20,lookup!$A$4:$B$16,lookup!$B$4:$B$16)</f>
        <v>2.51</v>
      </c>
      <c r="L20">
        <v>0</v>
      </c>
      <c r="M20">
        <v>0</v>
      </c>
    </row>
    <row r="21" hidden="1" spans="1:13">
      <c r="A21" s="16" t="s">
        <v>63</v>
      </c>
      <c r="B21" s="17">
        <v>1731.1</v>
      </c>
      <c r="C21" s="17">
        <v>5171.8</v>
      </c>
      <c r="D21">
        <f t="shared" si="0"/>
        <v>2.99</v>
      </c>
      <c r="E21">
        <v>25</v>
      </c>
      <c r="F21" s="18">
        <v>96</v>
      </c>
      <c r="G21" s="5">
        <f t="shared" si="1"/>
        <v>121</v>
      </c>
      <c r="H21" s="5">
        <v>613</v>
      </c>
      <c r="I21">
        <f t="shared" si="2"/>
        <v>2.82</v>
      </c>
      <c r="J21">
        <f t="shared" si="3"/>
        <v>8.44</v>
      </c>
      <c r="K21">
        <f ca="1">LOOKUP(G21,lookup!$A$4:$B$16,lookup!$B$4:$B$16)</f>
        <v>2.51</v>
      </c>
      <c r="L21">
        <v>0</v>
      </c>
      <c r="M21">
        <v>0</v>
      </c>
    </row>
    <row r="22" spans="1:13">
      <c r="A22" s="16" t="s">
        <v>64</v>
      </c>
      <c r="B22" s="17">
        <v>1805.69</v>
      </c>
      <c r="C22" s="17">
        <v>5429.2</v>
      </c>
      <c r="D22">
        <f t="shared" si="0"/>
        <v>3.01</v>
      </c>
      <c r="E22">
        <v>25</v>
      </c>
      <c r="F22" s="18">
        <v>95</v>
      </c>
      <c r="G22" s="5">
        <f t="shared" si="1"/>
        <v>120</v>
      </c>
      <c r="H22" s="5">
        <v>613</v>
      </c>
      <c r="I22">
        <f t="shared" si="2"/>
        <v>2.95</v>
      </c>
      <c r="J22">
        <f t="shared" si="3"/>
        <v>8.86</v>
      </c>
      <c r="K22">
        <f ca="1">LOOKUP(G22,lookup!$A$4:$B$16,lookup!$B$4:$B$16)</f>
        <v>2.16</v>
      </c>
      <c r="L22">
        <v>1</v>
      </c>
      <c r="M22">
        <v>3</v>
      </c>
    </row>
    <row r="23" hidden="1" spans="1:13">
      <c r="A23" s="16" t="s">
        <v>65</v>
      </c>
      <c r="B23" s="17">
        <v>1756.5</v>
      </c>
      <c r="C23" s="17">
        <v>4948</v>
      </c>
      <c r="D23">
        <f t="shared" si="0"/>
        <v>2.82</v>
      </c>
      <c r="E23">
        <v>25</v>
      </c>
      <c r="F23" s="18">
        <v>94</v>
      </c>
      <c r="G23" s="5">
        <f t="shared" si="1"/>
        <v>119</v>
      </c>
      <c r="H23" s="5">
        <v>614</v>
      </c>
      <c r="I23">
        <f t="shared" si="2"/>
        <v>2.86</v>
      </c>
      <c r="J23">
        <f t="shared" si="3"/>
        <v>8.06</v>
      </c>
      <c r="K23">
        <f ca="1">LOOKUP(G23,lookup!$A$4:$B$16,lookup!$B$4:$B$16)</f>
        <v>2.16</v>
      </c>
      <c r="L23">
        <v>0</v>
      </c>
      <c r="M23">
        <v>0</v>
      </c>
    </row>
    <row r="24" hidden="1" spans="1:13">
      <c r="A24" s="16" t="s">
        <v>66</v>
      </c>
      <c r="B24" s="17">
        <v>1935.81</v>
      </c>
      <c r="C24" s="17">
        <v>5729.5</v>
      </c>
      <c r="D24">
        <f t="shared" si="0"/>
        <v>2.96</v>
      </c>
      <c r="E24">
        <v>25</v>
      </c>
      <c r="F24" s="18">
        <v>93</v>
      </c>
      <c r="G24" s="5">
        <f t="shared" si="1"/>
        <v>118</v>
      </c>
      <c r="H24" s="5">
        <v>614</v>
      </c>
      <c r="I24">
        <f t="shared" si="2"/>
        <v>3.15</v>
      </c>
      <c r="J24">
        <f t="shared" si="3"/>
        <v>9.33</v>
      </c>
      <c r="K24">
        <f ca="1">LOOKUP(G24,lookup!$A$4:$B$16,lookup!$B$4:$B$16)</f>
        <v>2.16</v>
      </c>
      <c r="L24">
        <v>0</v>
      </c>
      <c r="M24">
        <v>0</v>
      </c>
    </row>
    <row r="25" hidden="1" spans="1:13">
      <c r="A25" s="16" t="s">
        <v>67</v>
      </c>
      <c r="B25" s="17">
        <v>1405.58</v>
      </c>
      <c r="C25" s="17">
        <v>4344.1</v>
      </c>
      <c r="D25">
        <f t="shared" si="0"/>
        <v>3.09</v>
      </c>
      <c r="E25">
        <v>25</v>
      </c>
      <c r="F25" s="18">
        <v>92</v>
      </c>
      <c r="G25" s="5">
        <f t="shared" si="1"/>
        <v>117</v>
      </c>
      <c r="H25" s="5">
        <v>614</v>
      </c>
      <c r="I25">
        <f t="shared" si="2"/>
        <v>2.29</v>
      </c>
      <c r="J25">
        <f t="shared" si="3"/>
        <v>7.08</v>
      </c>
      <c r="K25">
        <f ca="1">LOOKUP(G25,lookup!$A$4:$B$16,lookup!$B$4:$B$16)</f>
        <v>2.16</v>
      </c>
      <c r="L25">
        <v>0</v>
      </c>
      <c r="M25">
        <v>0</v>
      </c>
    </row>
    <row r="26" hidden="1" spans="1:13">
      <c r="A26" s="16" t="s">
        <v>68</v>
      </c>
      <c r="B26" s="17">
        <v>1355.13</v>
      </c>
      <c r="C26" s="17">
        <v>4019.8</v>
      </c>
      <c r="D26">
        <f t="shared" si="0"/>
        <v>2.97</v>
      </c>
      <c r="E26">
        <v>25</v>
      </c>
      <c r="F26" s="18">
        <v>91</v>
      </c>
      <c r="G26" s="5">
        <f t="shared" si="1"/>
        <v>116</v>
      </c>
      <c r="H26" s="5">
        <v>614</v>
      </c>
      <c r="I26">
        <f t="shared" si="2"/>
        <v>2.21</v>
      </c>
      <c r="J26">
        <f t="shared" si="3"/>
        <v>6.55</v>
      </c>
      <c r="K26">
        <f ca="1">LOOKUP(G26,lookup!$A$4:$B$16,lookup!$B$4:$B$16)</f>
        <v>2.16</v>
      </c>
      <c r="L26">
        <v>0</v>
      </c>
      <c r="M26">
        <v>0</v>
      </c>
    </row>
    <row r="27" hidden="1" spans="1:13">
      <c r="A27" s="16" t="s">
        <v>69</v>
      </c>
      <c r="B27" s="17">
        <v>1483.06</v>
      </c>
      <c r="C27" s="17">
        <v>4432.4</v>
      </c>
      <c r="D27">
        <f t="shared" si="0"/>
        <v>2.99</v>
      </c>
      <c r="E27">
        <v>25</v>
      </c>
      <c r="F27" s="18">
        <v>90</v>
      </c>
      <c r="G27" s="5">
        <f t="shared" si="1"/>
        <v>115</v>
      </c>
      <c r="H27" s="5">
        <v>614</v>
      </c>
      <c r="I27">
        <f t="shared" si="2"/>
        <v>2.42</v>
      </c>
      <c r="J27">
        <f t="shared" si="3"/>
        <v>7.22</v>
      </c>
      <c r="K27">
        <f ca="1">LOOKUP(G27,lookup!$A$4:$B$16,lookup!$B$4:$B$16)</f>
        <v>2.16</v>
      </c>
      <c r="L27">
        <v>0</v>
      </c>
      <c r="M27">
        <v>0</v>
      </c>
    </row>
    <row r="28" hidden="1" spans="1:13">
      <c r="A28" s="16" t="s">
        <v>70</v>
      </c>
      <c r="B28" s="17">
        <v>1407.62</v>
      </c>
      <c r="C28" s="17">
        <v>4203.9</v>
      </c>
      <c r="D28">
        <f t="shared" si="0"/>
        <v>2.99</v>
      </c>
      <c r="E28">
        <v>25</v>
      </c>
      <c r="F28" s="18">
        <v>89</v>
      </c>
      <c r="G28" s="5">
        <f t="shared" si="1"/>
        <v>114</v>
      </c>
      <c r="H28" s="5">
        <v>614</v>
      </c>
      <c r="I28">
        <f t="shared" si="2"/>
        <v>2.29</v>
      </c>
      <c r="J28">
        <f t="shared" si="3"/>
        <v>6.85</v>
      </c>
      <c r="K28">
        <f ca="1">LOOKUP(G28,lookup!$A$4:$B$16,lookup!$B$4:$B$16)</f>
        <v>2.16</v>
      </c>
      <c r="L28">
        <v>0</v>
      </c>
      <c r="M28">
        <v>0</v>
      </c>
    </row>
    <row r="29" hidden="1" spans="1:13">
      <c r="A29" s="16" t="s">
        <v>71</v>
      </c>
      <c r="B29" s="17">
        <v>1346.41</v>
      </c>
      <c r="C29" s="17">
        <v>4104</v>
      </c>
      <c r="D29">
        <f t="shared" si="0"/>
        <v>3.05</v>
      </c>
      <c r="E29">
        <v>25</v>
      </c>
      <c r="F29" s="18">
        <v>88</v>
      </c>
      <c r="G29" s="5">
        <f t="shared" si="1"/>
        <v>113</v>
      </c>
      <c r="H29" s="5">
        <v>614</v>
      </c>
      <c r="I29">
        <f t="shared" si="2"/>
        <v>2.19</v>
      </c>
      <c r="J29">
        <f t="shared" si="3"/>
        <v>6.68</v>
      </c>
      <c r="K29">
        <f ca="1">LOOKUP(G29,lookup!$A$4:$B$16,lookup!$B$4:$B$16)</f>
        <v>2.16</v>
      </c>
      <c r="L29">
        <v>0</v>
      </c>
      <c r="M29">
        <v>0</v>
      </c>
    </row>
    <row r="30" hidden="1" spans="1:13">
      <c r="A30" s="16" t="s">
        <v>72</v>
      </c>
      <c r="B30" s="17">
        <v>1523.22</v>
      </c>
      <c r="C30" s="17">
        <v>4631.6</v>
      </c>
      <c r="D30">
        <f t="shared" si="0"/>
        <v>3.04</v>
      </c>
      <c r="E30">
        <v>25</v>
      </c>
      <c r="F30" s="18">
        <v>87</v>
      </c>
      <c r="G30" s="5">
        <f t="shared" si="1"/>
        <v>112</v>
      </c>
      <c r="H30" s="5">
        <v>614</v>
      </c>
      <c r="I30">
        <f t="shared" si="2"/>
        <v>2.48</v>
      </c>
      <c r="J30">
        <f t="shared" si="3"/>
        <v>7.54</v>
      </c>
      <c r="K30">
        <f ca="1">LOOKUP(G30,lookup!$A$4:$B$16,lookup!$B$4:$B$16)</f>
        <v>2.16</v>
      </c>
      <c r="L30">
        <v>0</v>
      </c>
      <c r="M30">
        <v>0</v>
      </c>
    </row>
    <row r="31" spans="1:13">
      <c r="A31" s="16" t="s">
        <v>73</v>
      </c>
      <c r="B31" s="17">
        <v>1709.41</v>
      </c>
      <c r="C31" s="17">
        <v>5172.4</v>
      </c>
      <c r="D31">
        <f t="shared" si="0"/>
        <v>3.03</v>
      </c>
      <c r="E31">
        <v>25</v>
      </c>
      <c r="F31" s="18">
        <v>86</v>
      </c>
      <c r="G31" s="5">
        <f t="shared" si="1"/>
        <v>111</v>
      </c>
      <c r="H31" s="5">
        <v>614</v>
      </c>
      <c r="I31">
        <f t="shared" si="2"/>
        <v>2.78</v>
      </c>
      <c r="J31">
        <f t="shared" si="3"/>
        <v>8.42</v>
      </c>
      <c r="K31">
        <f ca="1">LOOKUP(G31,lookup!$A$4:$B$16,lookup!$B$4:$B$16)</f>
        <v>2.16</v>
      </c>
      <c r="L31">
        <v>1</v>
      </c>
      <c r="M31">
        <v>2</v>
      </c>
    </row>
    <row r="32" hidden="1" spans="1:13">
      <c r="A32" s="16" t="s">
        <v>74</v>
      </c>
      <c r="B32" s="17">
        <v>1361.48</v>
      </c>
      <c r="C32" s="17">
        <v>4143.6</v>
      </c>
      <c r="D32">
        <f t="shared" si="0"/>
        <v>3.04</v>
      </c>
      <c r="E32">
        <v>25</v>
      </c>
      <c r="F32" s="18">
        <v>85</v>
      </c>
      <c r="G32" s="5">
        <f t="shared" si="1"/>
        <v>110</v>
      </c>
      <c r="H32" s="5">
        <v>615</v>
      </c>
      <c r="I32">
        <f t="shared" si="2"/>
        <v>2.21</v>
      </c>
      <c r="J32">
        <f t="shared" si="3"/>
        <v>6.74</v>
      </c>
      <c r="K32">
        <f ca="1">LOOKUP(G32,lookup!$A$4:$B$16,lookup!$B$4:$B$16)</f>
        <v>2.16</v>
      </c>
      <c r="L32">
        <v>0</v>
      </c>
      <c r="M32">
        <v>0</v>
      </c>
    </row>
    <row r="33" hidden="1" spans="1:13">
      <c r="A33" s="16" t="s">
        <v>75</v>
      </c>
      <c r="B33" s="17">
        <v>1631.8</v>
      </c>
      <c r="C33" s="17">
        <v>4936.3</v>
      </c>
      <c r="D33">
        <f t="shared" si="0"/>
        <v>3.03</v>
      </c>
      <c r="E33">
        <v>25</v>
      </c>
      <c r="F33" s="18">
        <v>84</v>
      </c>
      <c r="G33" s="5">
        <f t="shared" si="1"/>
        <v>109</v>
      </c>
      <c r="H33" s="5">
        <v>615</v>
      </c>
      <c r="I33">
        <f t="shared" si="2"/>
        <v>2.65</v>
      </c>
      <c r="J33">
        <f t="shared" si="3"/>
        <v>8.03</v>
      </c>
      <c r="K33">
        <f ca="1">LOOKUP(G33,lookup!$A$4:$B$16,lookup!$B$4:$B$16)</f>
        <v>2.16</v>
      </c>
      <c r="L33">
        <v>0</v>
      </c>
      <c r="M33">
        <v>0</v>
      </c>
    </row>
    <row r="34" hidden="1" spans="1:13">
      <c r="A34" s="16" t="s">
        <v>76</v>
      </c>
      <c r="B34" s="17">
        <v>1583.16</v>
      </c>
      <c r="C34" s="17">
        <v>4787.6</v>
      </c>
      <c r="D34">
        <f t="shared" si="0"/>
        <v>3.02</v>
      </c>
      <c r="E34">
        <v>25</v>
      </c>
      <c r="F34" s="18">
        <v>83</v>
      </c>
      <c r="G34" s="5">
        <f t="shared" si="1"/>
        <v>108</v>
      </c>
      <c r="H34" s="5">
        <v>615</v>
      </c>
      <c r="I34">
        <f t="shared" si="2"/>
        <v>2.57</v>
      </c>
      <c r="J34">
        <f t="shared" si="3"/>
        <v>7.78</v>
      </c>
      <c r="K34">
        <f ca="1">LOOKUP(G34,lookup!$A$4:$B$16,lookup!$B$4:$B$16)</f>
        <v>2.16</v>
      </c>
      <c r="L34">
        <v>0</v>
      </c>
      <c r="M34">
        <v>0</v>
      </c>
    </row>
    <row r="35" hidden="1" spans="1:13">
      <c r="A35" s="16" t="s">
        <v>77</v>
      </c>
      <c r="B35" s="17">
        <v>1255.78</v>
      </c>
      <c r="C35" s="17">
        <v>3771.1</v>
      </c>
      <c r="D35">
        <f t="shared" si="0"/>
        <v>3</v>
      </c>
      <c r="E35">
        <v>25</v>
      </c>
      <c r="F35" s="18">
        <v>82</v>
      </c>
      <c r="G35" s="5">
        <f t="shared" si="1"/>
        <v>107</v>
      </c>
      <c r="H35" s="5">
        <v>615</v>
      </c>
      <c r="I35">
        <f t="shared" si="2"/>
        <v>2.04</v>
      </c>
      <c r="J35">
        <f t="shared" si="3"/>
        <v>6.13</v>
      </c>
      <c r="K35">
        <f ca="1">LOOKUP(G35,lookup!$A$4:$B$16,lookup!$B$4:$B$16)</f>
        <v>2.16</v>
      </c>
      <c r="L35">
        <v>0</v>
      </c>
      <c r="M35">
        <v>0</v>
      </c>
    </row>
    <row r="36" hidden="1" spans="1:13">
      <c r="A36" s="16" t="s">
        <v>78</v>
      </c>
      <c r="B36" s="17">
        <v>1490.28</v>
      </c>
      <c r="C36" s="17">
        <v>4532.5</v>
      </c>
      <c r="D36">
        <f t="shared" si="0"/>
        <v>3.04</v>
      </c>
      <c r="E36">
        <v>25</v>
      </c>
      <c r="F36" s="18">
        <v>81</v>
      </c>
      <c r="G36" s="5">
        <f t="shared" si="1"/>
        <v>106</v>
      </c>
      <c r="H36" s="5">
        <v>615</v>
      </c>
      <c r="I36">
        <f t="shared" si="2"/>
        <v>2.42</v>
      </c>
      <c r="J36">
        <f t="shared" si="3"/>
        <v>7.37</v>
      </c>
      <c r="K36">
        <f ca="1">LOOKUP(G36,lookup!$A$4:$B$16,lookup!$B$4:$B$16)</f>
        <v>2.16</v>
      </c>
      <c r="L36">
        <v>0</v>
      </c>
      <c r="M36">
        <v>0</v>
      </c>
    </row>
    <row r="37" spans="1:13">
      <c r="A37" s="16" t="s">
        <v>79</v>
      </c>
      <c r="B37" s="17">
        <v>1421.61</v>
      </c>
      <c r="C37" s="17">
        <v>4304.8</v>
      </c>
      <c r="D37">
        <f t="shared" si="0"/>
        <v>3.03</v>
      </c>
      <c r="E37">
        <v>25</v>
      </c>
      <c r="F37" s="18">
        <v>80</v>
      </c>
      <c r="G37" s="5">
        <f t="shared" si="1"/>
        <v>105</v>
      </c>
      <c r="H37" s="5">
        <v>615</v>
      </c>
      <c r="I37">
        <f t="shared" si="2"/>
        <v>2.31</v>
      </c>
      <c r="J37">
        <f t="shared" si="3"/>
        <v>7</v>
      </c>
      <c r="K37">
        <f ca="1">LOOKUP(G37,lookup!$A$4:$B$16,lookup!$B$4:$B$16)</f>
        <v>2.16</v>
      </c>
      <c r="L37">
        <v>1</v>
      </c>
      <c r="M37">
        <v>4</v>
      </c>
    </row>
    <row r="38" hidden="1" spans="1:13">
      <c r="A38" s="16" t="s">
        <v>80</v>
      </c>
      <c r="B38" s="17">
        <v>1443.86</v>
      </c>
      <c r="C38" s="17">
        <v>4368.4</v>
      </c>
      <c r="D38">
        <f t="shared" ref="D38:D71" si="4">ROUND(C38/B38,2)</f>
        <v>3.03</v>
      </c>
      <c r="E38">
        <v>25</v>
      </c>
      <c r="F38" s="18">
        <v>79</v>
      </c>
      <c r="G38" s="5">
        <f t="shared" ref="G38:G69" si="5">E38+F38</f>
        <v>104</v>
      </c>
      <c r="H38" s="5">
        <v>616</v>
      </c>
      <c r="I38">
        <f t="shared" ref="I38:I69" si="6">ROUND(B38/H38,2)</f>
        <v>2.34</v>
      </c>
      <c r="J38">
        <f t="shared" ref="J38:J69" si="7">ROUND(C38/$H38,2)</f>
        <v>7.09</v>
      </c>
      <c r="K38">
        <f ca="1">LOOKUP(G38,lookup!$A$4:$B$16,lookup!$B$4:$B$16)</f>
        <v>2.16</v>
      </c>
      <c r="L38">
        <v>0</v>
      </c>
      <c r="M38">
        <v>0</v>
      </c>
    </row>
    <row r="39" hidden="1" spans="1:13">
      <c r="A39" s="16" t="s">
        <v>81</v>
      </c>
      <c r="B39" s="17">
        <v>1252.94</v>
      </c>
      <c r="C39" s="17">
        <v>3808.2</v>
      </c>
      <c r="D39">
        <f t="shared" si="4"/>
        <v>3.04</v>
      </c>
      <c r="E39">
        <v>25</v>
      </c>
      <c r="F39" s="18">
        <v>78</v>
      </c>
      <c r="G39" s="5">
        <f t="shared" si="5"/>
        <v>103</v>
      </c>
      <c r="H39" s="5">
        <v>616</v>
      </c>
      <c r="I39">
        <f t="shared" si="6"/>
        <v>2.03</v>
      </c>
      <c r="J39">
        <f t="shared" si="7"/>
        <v>6.18</v>
      </c>
      <c r="K39">
        <f ca="1">LOOKUP(G39,lookup!$A$4:$B$16,lookup!$B$4:$B$16)</f>
        <v>2.16</v>
      </c>
      <c r="L39">
        <v>0</v>
      </c>
      <c r="M39">
        <v>0</v>
      </c>
    </row>
    <row r="40" hidden="1" spans="1:13">
      <c r="A40" s="16" t="s">
        <v>82</v>
      </c>
      <c r="B40" s="17">
        <v>1308.35</v>
      </c>
      <c r="C40" s="17">
        <v>3959.6</v>
      </c>
      <c r="D40">
        <f t="shared" si="4"/>
        <v>3.03</v>
      </c>
      <c r="E40">
        <v>25</v>
      </c>
      <c r="F40" s="18">
        <v>77</v>
      </c>
      <c r="G40" s="5">
        <f t="shared" si="5"/>
        <v>102</v>
      </c>
      <c r="H40" s="5">
        <v>616</v>
      </c>
      <c r="I40">
        <f t="shared" si="6"/>
        <v>2.12</v>
      </c>
      <c r="J40">
        <f t="shared" si="7"/>
        <v>6.43</v>
      </c>
      <c r="K40">
        <f ca="1">LOOKUP(G40,lookup!$A$4:$B$16,lookup!$B$4:$B$16)</f>
        <v>2.16</v>
      </c>
      <c r="L40">
        <v>0</v>
      </c>
      <c r="M40">
        <v>0</v>
      </c>
    </row>
    <row r="41" hidden="1" spans="1:13">
      <c r="A41" s="16" t="s">
        <v>83</v>
      </c>
      <c r="B41" s="17">
        <v>1369.4</v>
      </c>
      <c r="C41" s="17">
        <v>4155.3</v>
      </c>
      <c r="D41">
        <f t="shared" si="4"/>
        <v>3.03</v>
      </c>
      <c r="E41">
        <v>25</v>
      </c>
      <c r="F41" s="18">
        <v>76</v>
      </c>
      <c r="G41" s="5">
        <f t="shared" si="5"/>
        <v>101</v>
      </c>
      <c r="H41" s="5">
        <v>616</v>
      </c>
      <c r="I41">
        <f t="shared" si="6"/>
        <v>2.22</v>
      </c>
      <c r="J41">
        <f t="shared" si="7"/>
        <v>6.75</v>
      </c>
      <c r="K41">
        <f ca="1">LOOKUP(G41,lookup!$A$4:$B$16,lookup!$B$4:$B$16)</f>
        <v>2.16</v>
      </c>
      <c r="L41">
        <v>0</v>
      </c>
      <c r="M41">
        <v>0</v>
      </c>
    </row>
    <row r="42" hidden="1" spans="1:13">
      <c r="A42" s="16" t="s">
        <v>84</v>
      </c>
      <c r="B42" s="17">
        <v>1476.06</v>
      </c>
      <c r="C42" s="17">
        <v>4473.1</v>
      </c>
      <c r="D42">
        <f t="shared" si="4"/>
        <v>3.03</v>
      </c>
      <c r="E42">
        <v>25</v>
      </c>
      <c r="F42" s="18">
        <v>75</v>
      </c>
      <c r="G42" s="5">
        <f t="shared" si="5"/>
        <v>100</v>
      </c>
      <c r="H42" s="5">
        <v>616</v>
      </c>
      <c r="I42">
        <f t="shared" si="6"/>
        <v>2.4</v>
      </c>
      <c r="J42">
        <f t="shared" si="7"/>
        <v>7.26</v>
      </c>
      <c r="K42">
        <f ca="1">LOOKUP(G42,lookup!$A$4:$B$16,lookup!$B$4:$B$16)</f>
        <v>2.16</v>
      </c>
      <c r="L42">
        <v>0</v>
      </c>
      <c r="M42">
        <v>0</v>
      </c>
    </row>
    <row r="43" hidden="1" spans="1:13">
      <c r="A43" s="16" t="s">
        <v>85</v>
      </c>
      <c r="B43" s="17">
        <v>1458.31</v>
      </c>
      <c r="C43" s="17">
        <v>4420.7</v>
      </c>
      <c r="D43">
        <f t="shared" si="4"/>
        <v>3.03</v>
      </c>
      <c r="E43">
        <v>25</v>
      </c>
      <c r="F43" s="18">
        <v>74</v>
      </c>
      <c r="G43" s="5">
        <f t="shared" si="5"/>
        <v>99</v>
      </c>
      <c r="H43" s="5">
        <v>616</v>
      </c>
      <c r="I43">
        <f t="shared" si="6"/>
        <v>2.37</v>
      </c>
      <c r="J43">
        <f t="shared" si="7"/>
        <v>7.18</v>
      </c>
      <c r="K43">
        <f ca="1">LOOKUP(G43,lookup!$A$4:$B$16,lookup!$B$4:$B$16)</f>
        <v>2.16</v>
      </c>
      <c r="L43">
        <v>0</v>
      </c>
      <c r="M43">
        <v>0</v>
      </c>
    </row>
    <row r="44" hidden="1" spans="1:13">
      <c r="A44" s="16" t="s">
        <v>86</v>
      </c>
      <c r="B44" s="17">
        <v>1484.25</v>
      </c>
      <c r="C44" s="17">
        <v>4360.3</v>
      </c>
      <c r="D44">
        <f t="shared" si="4"/>
        <v>2.94</v>
      </c>
      <c r="E44">
        <v>25</v>
      </c>
      <c r="F44" s="18">
        <v>73</v>
      </c>
      <c r="G44" s="5">
        <f t="shared" si="5"/>
        <v>98</v>
      </c>
      <c r="H44" s="5">
        <v>616</v>
      </c>
      <c r="I44">
        <f t="shared" si="6"/>
        <v>2.41</v>
      </c>
      <c r="J44">
        <f t="shared" si="7"/>
        <v>7.08</v>
      </c>
      <c r="K44">
        <f ca="1">LOOKUP(G44,lookup!$A$4:$B$16,lookup!$B$4:$B$16)</f>
        <v>2.16</v>
      </c>
      <c r="L44">
        <v>0</v>
      </c>
      <c r="M44">
        <v>0</v>
      </c>
    </row>
    <row r="45" hidden="1" spans="1:13">
      <c r="A45" s="16" t="s">
        <v>87</v>
      </c>
      <c r="B45" s="17">
        <v>1379.93</v>
      </c>
      <c r="C45" s="17">
        <v>4195.6</v>
      </c>
      <c r="D45">
        <f t="shared" si="4"/>
        <v>3.04</v>
      </c>
      <c r="E45">
        <v>25</v>
      </c>
      <c r="F45" s="18">
        <v>72</v>
      </c>
      <c r="G45" s="5">
        <f t="shared" si="5"/>
        <v>97</v>
      </c>
      <c r="H45" s="5">
        <v>616</v>
      </c>
      <c r="I45">
        <f t="shared" si="6"/>
        <v>2.24</v>
      </c>
      <c r="J45">
        <f t="shared" si="7"/>
        <v>6.81</v>
      </c>
      <c r="K45">
        <f ca="1">LOOKUP(G45,lookup!$A$4:$B$16,lookup!$B$4:$B$16)</f>
        <v>1.84</v>
      </c>
      <c r="L45">
        <v>0</v>
      </c>
      <c r="M45">
        <v>0</v>
      </c>
    </row>
    <row r="46" hidden="1" spans="1:13">
      <c r="A46" s="16" t="s">
        <v>88</v>
      </c>
      <c r="B46" s="17">
        <v>1435.75</v>
      </c>
      <c r="C46" s="17">
        <v>4385.3</v>
      </c>
      <c r="D46">
        <f t="shared" si="4"/>
        <v>3.05</v>
      </c>
      <c r="E46">
        <v>25</v>
      </c>
      <c r="F46" s="18">
        <v>71</v>
      </c>
      <c r="G46" s="5">
        <f t="shared" si="5"/>
        <v>96</v>
      </c>
      <c r="H46" s="5">
        <v>616</v>
      </c>
      <c r="I46">
        <f t="shared" si="6"/>
        <v>2.33</v>
      </c>
      <c r="J46">
        <f t="shared" si="7"/>
        <v>7.12</v>
      </c>
      <c r="K46">
        <f ca="1">LOOKUP(G46,lookup!$A$4:$B$16,lookup!$B$4:$B$16)</f>
        <v>1.84</v>
      </c>
      <c r="L46">
        <v>0</v>
      </c>
      <c r="M46">
        <v>0</v>
      </c>
    </row>
    <row r="47" hidden="1" spans="1:13">
      <c r="A47" s="16" t="s">
        <v>89</v>
      </c>
      <c r="B47" s="17">
        <v>1419.03</v>
      </c>
      <c r="C47" s="17">
        <v>4316.5</v>
      </c>
      <c r="D47">
        <f t="shared" si="4"/>
        <v>3.04</v>
      </c>
      <c r="E47">
        <v>25</v>
      </c>
      <c r="F47" s="18">
        <v>70</v>
      </c>
      <c r="G47" s="5">
        <f t="shared" si="5"/>
        <v>95</v>
      </c>
      <c r="H47" s="5">
        <v>616</v>
      </c>
      <c r="I47">
        <f t="shared" si="6"/>
        <v>2.3</v>
      </c>
      <c r="J47">
        <f t="shared" si="7"/>
        <v>7.01</v>
      </c>
      <c r="K47">
        <f ca="1">LOOKUP(G47,lookup!$A$4:$B$16,lookup!$B$4:$B$16)</f>
        <v>1.84</v>
      </c>
      <c r="L47">
        <v>0</v>
      </c>
      <c r="M47">
        <v>0</v>
      </c>
    </row>
    <row r="48" hidden="1" spans="1:13">
      <c r="A48" s="16" t="s">
        <v>90</v>
      </c>
      <c r="B48" s="17">
        <v>1344.04</v>
      </c>
      <c r="C48" s="17">
        <v>4081</v>
      </c>
      <c r="D48">
        <f t="shared" si="4"/>
        <v>3.04</v>
      </c>
      <c r="E48">
        <v>25</v>
      </c>
      <c r="F48" s="18">
        <v>69</v>
      </c>
      <c r="G48" s="5">
        <f t="shared" si="5"/>
        <v>94</v>
      </c>
      <c r="H48" s="5">
        <v>616</v>
      </c>
      <c r="I48">
        <f t="shared" si="6"/>
        <v>2.18</v>
      </c>
      <c r="J48">
        <f t="shared" si="7"/>
        <v>6.63</v>
      </c>
      <c r="K48">
        <f ca="1">LOOKUP(G48,lookup!$A$4:$B$16,lookup!$B$4:$B$16)</f>
        <v>1.84</v>
      </c>
      <c r="L48">
        <v>0</v>
      </c>
      <c r="M48">
        <v>0</v>
      </c>
    </row>
    <row r="49" hidden="1" spans="1:13">
      <c r="A49" s="16" t="s">
        <v>91</v>
      </c>
      <c r="B49" s="17">
        <v>1351.97</v>
      </c>
      <c r="C49" s="17">
        <v>4084.8</v>
      </c>
      <c r="D49">
        <f t="shared" si="4"/>
        <v>3.02</v>
      </c>
      <c r="E49">
        <v>25</v>
      </c>
      <c r="F49" s="18">
        <v>68</v>
      </c>
      <c r="G49" s="5">
        <f t="shared" si="5"/>
        <v>93</v>
      </c>
      <c r="H49" s="5">
        <v>616</v>
      </c>
      <c r="I49">
        <f t="shared" si="6"/>
        <v>2.19</v>
      </c>
      <c r="J49">
        <f t="shared" si="7"/>
        <v>6.63</v>
      </c>
      <c r="K49">
        <f ca="1">LOOKUP(G49,lookup!$A$4:$B$16,lookup!$B$4:$B$16)</f>
        <v>1.84</v>
      </c>
      <c r="L49">
        <v>0</v>
      </c>
      <c r="M49">
        <v>0</v>
      </c>
    </row>
    <row r="50" hidden="1" spans="1:13">
      <c r="A50" s="16" t="s">
        <v>92</v>
      </c>
      <c r="B50" s="17">
        <v>1228.46</v>
      </c>
      <c r="C50" s="17">
        <v>3679.9</v>
      </c>
      <c r="D50">
        <f t="shared" si="4"/>
        <v>3</v>
      </c>
      <c r="E50">
        <v>25</v>
      </c>
      <c r="F50" s="18">
        <v>67</v>
      </c>
      <c r="G50" s="5">
        <f t="shared" si="5"/>
        <v>92</v>
      </c>
      <c r="H50" s="5">
        <v>616</v>
      </c>
      <c r="I50">
        <f t="shared" si="6"/>
        <v>1.99</v>
      </c>
      <c r="J50">
        <f t="shared" si="7"/>
        <v>5.97</v>
      </c>
      <c r="K50">
        <f ca="1">LOOKUP(G50,lookup!$A$4:$B$16,lookup!$B$4:$B$16)</f>
        <v>1.84</v>
      </c>
      <c r="L50">
        <v>0</v>
      </c>
      <c r="M50">
        <v>0</v>
      </c>
    </row>
    <row r="51" hidden="1" spans="1:13">
      <c r="A51" s="16" t="s">
        <v>93</v>
      </c>
      <c r="B51" s="17">
        <v>1207.95</v>
      </c>
      <c r="C51" s="17">
        <v>3631.4</v>
      </c>
      <c r="D51">
        <f t="shared" si="4"/>
        <v>3.01</v>
      </c>
      <c r="E51">
        <v>25</v>
      </c>
      <c r="F51" s="18">
        <v>66</v>
      </c>
      <c r="G51" s="5">
        <f t="shared" si="5"/>
        <v>91</v>
      </c>
      <c r="H51" s="5">
        <v>616</v>
      </c>
      <c r="I51">
        <f t="shared" si="6"/>
        <v>1.96</v>
      </c>
      <c r="J51">
        <f t="shared" si="7"/>
        <v>5.9</v>
      </c>
      <c r="K51">
        <f ca="1">LOOKUP(G51,lookup!$A$4:$B$16,lookup!$B$4:$B$16)</f>
        <v>1.84</v>
      </c>
      <c r="L51">
        <v>0</v>
      </c>
      <c r="M51">
        <v>0</v>
      </c>
    </row>
    <row r="52" spans="1:13">
      <c r="A52" s="16" t="s">
        <v>94</v>
      </c>
      <c r="B52" s="17">
        <v>1215.79</v>
      </c>
      <c r="C52" s="17">
        <v>3707.3</v>
      </c>
      <c r="D52">
        <f t="shared" si="4"/>
        <v>3.05</v>
      </c>
      <c r="E52">
        <v>25</v>
      </c>
      <c r="F52" s="18">
        <v>65</v>
      </c>
      <c r="G52" s="5">
        <f t="shared" si="5"/>
        <v>90</v>
      </c>
      <c r="H52" s="5">
        <v>616</v>
      </c>
      <c r="I52">
        <f t="shared" si="6"/>
        <v>1.97</v>
      </c>
      <c r="J52">
        <f t="shared" si="7"/>
        <v>6.02</v>
      </c>
      <c r="K52">
        <f ca="1">LOOKUP(G52,lookup!$A$4:$B$16,lookup!$B$4:$B$16)</f>
        <v>1.57</v>
      </c>
      <c r="L52">
        <v>1</v>
      </c>
      <c r="M52">
        <v>2</v>
      </c>
    </row>
    <row r="53" hidden="1" spans="1:13">
      <c r="A53" s="16" t="s">
        <v>95</v>
      </c>
      <c r="B53" s="17">
        <v>1288.33</v>
      </c>
      <c r="C53" s="17">
        <v>3911.7</v>
      </c>
      <c r="D53">
        <f t="shared" si="4"/>
        <v>3.04</v>
      </c>
      <c r="E53">
        <v>25</v>
      </c>
      <c r="F53" s="18">
        <v>64</v>
      </c>
      <c r="G53" s="5">
        <f t="shared" si="5"/>
        <v>89</v>
      </c>
      <c r="H53" s="5">
        <v>617</v>
      </c>
      <c r="I53">
        <f t="shared" si="6"/>
        <v>2.09</v>
      </c>
      <c r="J53">
        <f t="shared" si="7"/>
        <v>6.34</v>
      </c>
      <c r="K53">
        <f ca="1">LOOKUP(G53,lookup!$A$4:$B$16,lookup!$B$4:$B$16)</f>
        <v>1.57</v>
      </c>
      <c r="L53">
        <v>0</v>
      </c>
      <c r="M53">
        <v>0</v>
      </c>
    </row>
    <row r="54" hidden="1" spans="1:13">
      <c r="A54" s="16" t="s">
        <v>96</v>
      </c>
      <c r="B54" s="17">
        <v>1170.05</v>
      </c>
      <c r="C54" s="17">
        <v>3575.8</v>
      </c>
      <c r="D54">
        <f t="shared" si="4"/>
        <v>3.06</v>
      </c>
      <c r="E54">
        <v>25</v>
      </c>
      <c r="F54" s="18">
        <v>63</v>
      </c>
      <c r="G54" s="5">
        <f t="shared" si="5"/>
        <v>88</v>
      </c>
      <c r="H54" s="5">
        <v>617</v>
      </c>
      <c r="I54">
        <f t="shared" si="6"/>
        <v>1.9</v>
      </c>
      <c r="J54">
        <f t="shared" si="7"/>
        <v>5.8</v>
      </c>
      <c r="K54">
        <f ca="1">LOOKUP(G54,lookup!$A$4:$B$16,lookup!$B$4:$B$16)</f>
        <v>1.57</v>
      </c>
      <c r="L54">
        <v>0</v>
      </c>
      <c r="M54">
        <v>0</v>
      </c>
    </row>
    <row r="55" spans="1:13">
      <c r="A55" s="16" t="s">
        <v>97</v>
      </c>
      <c r="B55" s="17">
        <v>1223.31</v>
      </c>
      <c r="C55" s="17">
        <v>3712.1</v>
      </c>
      <c r="D55">
        <f t="shared" si="4"/>
        <v>3.03</v>
      </c>
      <c r="E55">
        <v>25</v>
      </c>
      <c r="F55" s="18">
        <v>62</v>
      </c>
      <c r="G55" s="5">
        <f t="shared" si="5"/>
        <v>87</v>
      </c>
      <c r="H55" s="5">
        <v>617</v>
      </c>
      <c r="I55">
        <f t="shared" si="6"/>
        <v>1.98</v>
      </c>
      <c r="J55">
        <f t="shared" si="7"/>
        <v>6.02</v>
      </c>
      <c r="K55">
        <f ca="1">LOOKUP(G55,lookup!$A$4:$B$16,lookup!$B$4:$B$16)</f>
        <v>1.57</v>
      </c>
      <c r="L55">
        <v>1</v>
      </c>
      <c r="M55">
        <v>2</v>
      </c>
    </row>
    <row r="56" hidden="1" spans="1:13">
      <c r="A56" s="16" t="s">
        <v>98</v>
      </c>
      <c r="B56" s="17">
        <v>1108.6</v>
      </c>
      <c r="C56" s="17">
        <v>3355.3</v>
      </c>
      <c r="D56">
        <f t="shared" si="4"/>
        <v>3.03</v>
      </c>
      <c r="E56">
        <v>25</v>
      </c>
      <c r="F56" s="18">
        <v>61</v>
      </c>
      <c r="G56" s="5">
        <f t="shared" si="5"/>
        <v>86</v>
      </c>
      <c r="H56" s="5">
        <v>618</v>
      </c>
      <c r="I56">
        <f t="shared" si="6"/>
        <v>1.79</v>
      </c>
      <c r="J56">
        <f t="shared" si="7"/>
        <v>5.43</v>
      </c>
      <c r="K56">
        <f ca="1">LOOKUP(G56,lookup!$A$4:$B$16,lookup!$B$4:$B$16)</f>
        <v>1.57</v>
      </c>
      <c r="L56">
        <v>0</v>
      </c>
      <c r="M56">
        <v>0</v>
      </c>
    </row>
    <row r="57" hidden="1" spans="1:13">
      <c r="A57" s="16" t="s">
        <v>99</v>
      </c>
      <c r="B57" s="17">
        <v>1088.73</v>
      </c>
      <c r="C57" s="17">
        <v>3322.4</v>
      </c>
      <c r="D57">
        <f t="shared" si="4"/>
        <v>3.05</v>
      </c>
      <c r="E57">
        <v>25</v>
      </c>
      <c r="F57" s="18">
        <v>60</v>
      </c>
      <c r="G57" s="5">
        <f t="shared" si="5"/>
        <v>85</v>
      </c>
      <c r="H57" s="5">
        <v>618</v>
      </c>
      <c r="I57">
        <f t="shared" si="6"/>
        <v>1.76</v>
      </c>
      <c r="J57">
        <f t="shared" si="7"/>
        <v>5.38</v>
      </c>
      <c r="K57">
        <f ca="1">LOOKUP(G57,lookup!$A$4:$B$16,lookup!$B$4:$B$16)</f>
        <v>1.57</v>
      </c>
      <c r="L57">
        <v>0</v>
      </c>
      <c r="M57">
        <v>0</v>
      </c>
    </row>
    <row r="58" hidden="1" spans="1:13">
      <c r="A58" s="16" t="s">
        <v>100</v>
      </c>
      <c r="B58" s="17">
        <v>1134.16</v>
      </c>
      <c r="C58" s="17">
        <v>3456.1</v>
      </c>
      <c r="D58">
        <f t="shared" si="4"/>
        <v>3.05</v>
      </c>
      <c r="E58">
        <v>25</v>
      </c>
      <c r="F58" s="18">
        <v>59</v>
      </c>
      <c r="G58" s="5">
        <f t="shared" si="5"/>
        <v>84</v>
      </c>
      <c r="H58" s="5">
        <v>618</v>
      </c>
      <c r="I58">
        <f t="shared" si="6"/>
        <v>1.84</v>
      </c>
      <c r="J58">
        <f t="shared" si="7"/>
        <v>5.59</v>
      </c>
      <c r="K58">
        <f ca="1">LOOKUP(G58,lookup!$A$4:$B$16,lookup!$B$4:$B$16)</f>
        <v>1.57</v>
      </c>
      <c r="L58">
        <v>0</v>
      </c>
      <c r="M58">
        <v>0</v>
      </c>
    </row>
    <row r="59" hidden="1" spans="1:13">
      <c r="A59" s="16" t="s">
        <v>101</v>
      </c>
      <c r="B59" s="17">
        <v>1176.1</v>
      </c>
      <c r="C59" s="17">
        <v>3592</v>
      </c>
      <c r="D59">
        <f t="shared" si="4"/>
        <v>3.05</v>
      </c>
      <c r="E59">
        <v>25</v>
      </c>
      <c r="F59" s="18">
        <v>58</v>
      </c>
      <c r="G59" s="5">
        <f t="shared" si="5"/>
        <v>83</v>
      </c>
      <c r="H59" s="5">
        <v>618</v>
      </c>
      <c r="I59">
        <f t="shared" si="6"/>
        <v>1.9</v>
      </c>
      <c r="J59">
        <f t="shared" si="7"/>
        <v>5.81</v>
      </c>
      <c r="K59">
        <f ca="1">LOOKUP(G59,lookup!$A$4:$B$16,lookup!$B$4:$B$16)</f>
        <v>1.57</v>
      </c>
      <c r="L59">
        <v>0</v>
      </c>
      <c r="M59">
        <v>0</v>
      </c>
    </row>
    <row r="60" spans="1:13">
      <c r="A60" s="16" t="s">
        <v>102</v>
      </c>
      <c r="B60" s="17">
        <v>1232.77</v>
      </c>
      <c r="C60" s="17">
        <v>3768.8</v>
      </c>
      <c r="D60">
        <f t="shared" si="4"/>
        <v>3.06</v>
      </c>
      <c r="E60">
        <v>25</v>
      </c>
      <c r="F60" s="18">
        <v>57</v>
      </c>
      <c r="G60" s="5">
        <f t="shared" si="5"/>
        <v>82</v>
      </c>
      <c r="H60" s="5">
        <v>618</v>
      </c>
      <c r="I60">
        <f t="shared" si="6"/>
        <v>1.99</v>
      </c>
      <c r="J60">
        <f t="shared" si="7"/>
        <v>6.1</v>
      </c>
      <c r="K60">
        <f ca="1">LOOKUP(G60,lookup!$A$4:$B$16,lookup!$B$4:$B$16)</f>
        <v>1.57</v>
      </c>
      <c r="L60">
        <v>1</v>
      </c>
      <c r="M60">
        <v>1</v>
      </c>
    </row>
    <row r="61" hidden="1" spans="1:13">
      <c r="A61" s="16" t="s">
        <v>103</v>
      </c>
      <c r="B61" s="17">
        <v>1162.63</v>
      </c>
      <c r="C61" s="17">
        <v>3556.2</v>
      </c>
      <c r="D61">
        <f t="shared" si="4"/>
        <v>3.06</v>
      </c>
      <c r="E61">
        <v>25</v>
      </c>
      <c r="F61" s="18">
        <v>56</v>
      </c>
      <c r="G61" s="5">
        <f t="shared" si="5"/>
        <v>81</v>
      </c>
      <c r="H61" s="5">
        <v>619</v>
      </c>
      <c r="I61">
        <f t="shared" si="6"/>
        <v>1.88</v>
      </c>
      <c r="J61">
        <f t="shared" si="7"/>
        <v>5.75</v>
      </c>
      <c r="K61">
        <f ca="1">LOOKUP(G61,lookup!$A$4:$B$16,lookup!$B$4:$B$16)</f>
        <v>1.57</v>
      </c>
      <c r="L61">
        <v>0</v>
      </c>
      <c r="M61">
        <v>0</v>
      </c>
    </row>
    <row r="62" hidden="1" spans="1:13">
      <c r="A62" s="16" t="s">
        <v>104</v>
      </c>
      <c r="B62" s="17">
        <v>987.27</v>
      </c>
      <c r="C62" s="17">
        <v>3030.7</v>
      </c>
      <c r="D62">
        <f t="shared" si="4"/>
        <v>3.07</v>
      </c>
      <c r="E62">
        <v>25</v>
      </c>
      <c r="F62" s="18">
        <v>55</v>
      </c>
      <c r="G62" s="5">
        <f t="shared" si="5"/>
        <v>80</v>
      </c>
      <c r="H62" s="5">
        <v>619</v>
      </c>
      <c r="I62">
        <f t="shared" si="6"/>
        <v>1.59</v>
      </c>
      <c r="J62">
        <f t="shared" si="7"/>
        <v>4.9</v>
      </c>
      <c r="K62">
        <f ca="1">LOOKUP(G62,lookup!$A$4:$B$16,lookup!$B$4:$B$16)</f>
        <v>1.57</v>
      </c>
      <c r="L62">
        <v>0</v>
      </c>
      <c r="M62">
        <v>0</v>
      </c>
    </row>
    <row r="63" spans="1:13">
      <c r="A63" s="16" t="s">
        <v>105</v>
      </c>
      <c r="B63" s="17">
        <v>985.47</v>
      </c>
      <c r="C63" s="17">
        <v>3039.2</v>
      </c>
      <c r="D63">
        <f t="shared" si="4"/>
        <v>3.08</v>
      </c>
      <c r="E63">
        <v>25</v>
      </c>
      <c r="F63" s="18">
        <v>54</v>
      </c>
      <c r="G63" s="5">
        <f t="shared" si="5"/>
        <v>79</v>
      </c>
      <c r="H63" s="5">
        <v>619</v>
      </c>
      <c r="I63">
        <f t="shared" si="6"/>
        <v>1.59</v>
      </c>
      <c r="J63">
        <f t="shared" si="7"/>
        <v>4.91</v>
      </c>
      <c r="K63">
        <f ca="1">LOOKUP(G63,lookup!$A$4:$B$16,lookup!$B$4:$B$16)</f>
        <v>1.57</v>
      </c>
      <c r="L63">
        <v>1</v>
      </c>
      <c r="M63">
        <v>3</v>
      </c>
    </row>
    <row r="64" hidden="1" spans="1:13">
      <c r="A64" s="16" t="s">
        <v>106</v>
      </c>
      <c r="B64" s="17">
        <v>889.39</v>
      </c>
      <c r="C64" s="17">
        <v>2715</v>
      </c>
      <c r="D64">
        <f t="shared" si="4"/>
        <v>3.05</v>
      </c>
      <c r="E64">
        <v>25</v>
      </c>
      <c r="F64" s="18">
        <v>53</v>
      </c>
      <c r="G64" s="5">
        <f t="shared" si="5"/>
        <v>78</v>
      </c>
      <c r="H64" s="5">
        <v>620</v>
      </c>
      <c r="I64">
        <f t="shared" si="6"/>
        <v>1.43</v>
      </c>
      <c r="J64">
        <f t="shared" si="7"/>
        <v>4.38</v>
      </c>
      <c r="K64">
        <f ca="1">LOOKUP(G64,lookup!$A$4:$B$16,lookup!$B$4:$B$16)</f>
        <v>1.57</v>
      </c>
      <c r="L64">
        <v>0</v>
      </c>
      <c r="M64">
        <v>0</v>
      </c>
    </row>
    <row r="65" spans="1:13">
      <c r="A65" s="16" t="s">
        <v>107</v>
      </c>
      <c r="B65" s="17">
        <v>1162.59</v>
      </c>
      <c r="C65" s="17">
        <v>3548.2</v>
      </c>
      <c r="D65">
        <f t="shared" si="4"/>
        <v>3.05</v>
      </c>
      <c r="E65">
        <v>25</v>
      </c>
      <c r="F65" s="18">
        <v>52</v>
      </c>
      <c r="G65" s="5">
        <f t="shared" si="5"/>
        <v>77</v>
      </c>
      <c r="H65" s="5">
        <v>620</v>
      </c>
      <c r="I65">
        <f t="shared" si="6"/>
        <v>1.88</v>
      </c>
      <c r="J65">
        <f t="shared" si="7"/>
        <v>5.72</v>
      </c>
      <c r="K65">
        <f ca="1">LOOKUP(G65,lookup!$A$4:$B$16,lookup!$B$4:$B$16)</f>
        <v>1.57</v>
      </c>
      <c r="L65">
        <v>1</v>
      </c>
      <c r="M65">
        <v>2</v>
      </c>
    </row>
    <row r="66" hidden="1" spans="1:13">
      <c r="A66" s="16" t="s">
        <v>108</v>
      </c>
      <c r="B66" s="17">
        <v>1153.34</v>
      </c>
      <c r="C66" s="17">
        <v>3520</v>
      </c>
      <c r="D66">
        <f t="shared" si="4"/>
        <v>3.05</v>
      </c>
      <c r="E66">
        <v>25</v>
      </c>
      <c r="F66" s="18">
        <v>51</v>
      </c>
      <c r="G66" s="5">
        <f t="shared" si="5"/>
        <v>76</v>
      </c>
      <c r="H66" s="5">
        <v>621</v>
      </c>
      <c r="I66">
        <f t="shared" si="6"/>
        <v>1.86</v>
      </c>
      <c r="J66">
        <f t="shared" si="7"/>
        <v>5.67</v>
      </c>
      <c r="K66">
        <f ca="1">LOOKUP(G66,lookup!$A$4:$B$16,lookup!$B$4:$B$16)</f>
        <v>1.57</v>
      </c>
      <c r="L66">
        <v>0</v>
      </c>
      <c r="M66">
        <v>0</v>
      </c>
    </row>
    <row r="67" hidden="1" spans="1:13">
      <c r="A67" s="16" t="s">
        <v>109</v>
      </c>
      <c r="B67" s="17">
        <v>1160.57</v>
      </c>
      <c r="C67" s="17">
        <v>3544.2</v>
      </c>
      <c r="D67">
        <f t="shared" si="4"/>
        <v>3.05</v>
      </c>
      <c r="E67">
        <v>25</v>
      </c>
      <c r="F67" s="18">
        <v>50</v>
      </c>
      <c r="G67" s="5">
        <f t="shared" si="5"/>
        <v>75</v>
      </c>
      <c r="H67" s="5">
        <v>621</v>
      </c>
      <c r="I67">
        <f t="shared" si="6"/>
        <v>1.87</v>
      </c>
      <c r="J67">
        <f t="shared" si="7"/>
        <v>5.71</v>
      </c>
      <c r="K67">
        <f ca="1">LOOKUP(G67,lookup!$A$4:$B$16,lookup!$B$4:$B$16)</f>
        <v>1.57</v>
      </c>
      <c r="L67">
        <v>0</v>
      </c>
      <c r="M67">
        <v>0</v>
      </c>
    </row>
    <row r="68" hidden="1" spans="1:13">
      <c r="A68" s="16" t="s">
        <v>110</v>
      </c>
      <c r="B68" s="17">
        <v>1100.03</v>
      </c>
      <c r="C68" s="17">
        <v>3383.8</v>
      </c>
      <c r="D68">
        <f t="shared" si="4"/>
        <v>3.08</v>
      </c>
      <c r="E68">
        <v>25</v>
      </c>
      <c r="F68" s="18">
        <v>49</v>
      </c>
      <c r="G68" s="5">
        <f t="shared" si="5"/>
        <v>74</v>
      </c>
      <c r="H68" s="5">
        <v>621</v>
      </c>
      <c r="I68">
        <f t="shared" si="6"/>
        <v>1.77</v>
      </c>
      <c r="J68">
        <f t="shared" si="7"/>
        <v>5.45</v>
      </c>
      <c r="K68">
        <f ca="1">LOOKUP(G68,lookup!$A$4:$B$16,lookup!$B$4:$B$16)</f>
        <v>1.57</v>
      </c>
      <c r="L68">
        <v>0</v>
      </c>
      <c r="M68">
        <v>0</v>
      </c>
    </row>
    <row r="69" spans="1:13">
      <c r="A69" s="19" t="s">
        <v>111</v>
      </c>
      <c r="B69" s="17">
        <f>ROUND((B67-B70)/3*2+B70,2)</f>
        <v>1139.26</v>
      </c>
      <c r="C69" s="17">
        <f>ROUND((C67-C70)/3*2+C70,2)</f>
        <v>3485.03</v>
      </c>
      <c r="D69">
        <f t="shared" si="4"/>
        <v>3.06</v>
      </c>
      <c r="E69">
        <v>25</v>
      </c>
      <c r="F69" s="18">
        <v>48</v>
      </c>
      <c r="G69" s="5">
        <f t="shared" si="5"/>
        <v>73</v>
      </c>
      <c r="H69" s="5">
        <v>621</v>
      </c>
      <c r="I69">
        <f t="shared" si="6"/>
        <v>1.83</v>
      </c>
      <c r="J69">
        <f t="shared" si="7"/>
        <v>5.61</v>
      </c>
      <c r="K69">
        <f ca="1">LOOKUP(G69,lookup!$A$4:$B$16,lookup!$B$4:$B$16)</f>
        <v>1.57</v>
      </c>
      <c r="L69">
        <v>0</v>
      </c>
      <c r="M69">
        <v>2</v>
      </c>
    </row>
    <row r="70" spans="1:13">
      <c r="A70" s="19" t="s">
        <v>112</v>
      </c>
      <c r="B70" s="17">
        <f>ROUND((B68-B71)/3*2+B71,2)</f>
        <v>1096.65</v>
      </c>
      <c r="C70" s="17">
        <f>ROUND((C68-C71)/3*2+C71,2)</f>
        <v>3366.7</v>
      </c>
      <c r="D70">
        <f t="shared" si="4"/>
        <v>3.07</v>
      </c>
      <c r="E70">
        <v>25</v>
      </c>
      <c r="F70" s="18">
        <v>47</v>
      </c>
      <c r="G70" s="5">
        <f t="shared" ref="G70:G116" si="8">E70+F70</f>
        <v>72</v>
      </c>
      <c r="H70" s="5">
        <v>622</v>
      </c>
      <c r="I70">
        <f t="shared" ref="I70:I116" si="9">ROUND(B70/H70,2)</f>
        <v>1.76</v>
      </c>
      <c r="J70">
        <f t="shared" ref="J70:J116" si="10">ROUND(C70/$H70,2)</f>
        <v>5.41</v>
      </c>
      <c r="K70">
        <f ca="1">LOOKUP(G70,lookup!$A$4:$B$16,lookup!$B$4:$B$16)</f>
        <v>1.57</v>
      </c>
      <c r="L70">
        <v>0</v>
      </c>
      <c r="M70">
        <v>1</v>
      </c>
    </row>
    <row r="71" hidden="1" spans="1:13">
      <c r="A71" s="20" t="s">
        <v>113</v>
      </c>
      <c r="B71" s="17">
        <v>1089.89</v>
      </c>
      <c r="C71" s="17">
        <v>3332.5</v>
      </c>
      <c r="D71">
        <f t="shared" si="4"/>
        <v>3.06</v>
      </c>
      <c r="E71">
        <v>25</v>
      </c>
      <c r="F71" s="18">
        <v>46</v>
      </c>
      <c r="G71" s="5">
        <f t="shared" si="8"/>
        <v>71</v>
      </c>
      <c r="H71" s="5">
        <v>623</v>
      </c>
      <c r="I71">
        <f t="shared" si="9"/>
        <v>1.75</v>
      </c>
      <c r="J71">
        <f t="shared" si="10"/>
        <v>5.35</v>
      </c>
      <c r="K71">
        <f ca="1">LOOKUP(G71,lookup!$A$4:$B$16,lookup!$B$4:$B$16)</f>
        <v>1.57</v>
      </c>
      <c r="L71">
        <v>0</v>
      </c>
      <c r="M71">
        <v>0</v>
      </c>
    </row>
    <row r="72" hidden="1" spans="1:13">
      <c r="A72" s="16" t="s">
        <v>114</v>
      </c>
      <c r="B72" s="17">
        <v>992.71</v>
      </c>
      <c r="C72" s="17">
        <v>3042.5</v>
      </c>
      <c r="D72">
        <f t="shared" ref="D72:D117" si="11">ROUND(C72/B72,2)</f>
        <v>3.06</v>
      </c>
      <c r="E72">
        <v>25</v>
      </c>
      <c r="F72" s="18">
        <v>45</v>
      </c>
      <c r="G72" s="5">
        <f t="shared" si="8"/>
        <v>70</v>
      </c>
      <c r="H72" s="5">
        <v>623</v>
      </c>
      <c r="I72">
        <f t="shared" si="9"/>
        <v>1.59</v>
      </c>
      <c r="J72">
        <f t="shared" si="10"/>
        <v>4.88</v>
      </c>
      <c r="K72">
        <f ca="1">LOOKUP(G72,lookup!$A$4:$B$16,lookup!$B$4:$B$16)</f>
        <v>1.23</v>
      </c>
      <c r="L72">
        <v>0</v>
      </c>
      <c r="M72">
        <v>0</v>
      </c>
    </row>
    <row r="73" hidden="1" spans="1:13">
      <c r="A73" s="16" t="s">
        <v>115</v>
      </c>
      <c r="B73" s="17">
        <v>1023.96</v>
      </c>
      <c r="C73" s="17">
        <v>3119.5</v>
      </c>
      <c r="D73">
        <f t="shared" si="11"/>
        <v>3.05</v>
      </c>
      <c r="E73">
        <v>25</v>
      </c>
      <c r="F73" s="18">
        <v>44</v>
      </c>
      <c r="G73" s="5">
        <f t="shared" si="8"/>
        <v>69</v>
      </c>
      <c r="H73" s="5">
        <v>623</v>
      </c>
      <c r="I73">
        <f t="shared" si="9"/>
        <v>1.64</v>
      </c>
      <c r="J73">
        <f t="shared" si="10"/>
        <v>5.01</v>
      </c>
      <c r="K73">
        <f ca="1">LOOKUP(G73,lookup!$A$4:$B$16,lookup!$B$4:$B$16)</f>
        <v>1.23</v>
      </c>
      <c r="L73">
        <v>0</v>
      </c>
      <c r="M73">
        <v>0</v>
      </c>
    </row>
    <row r="74" hidden="1" spans="1:13">
      <c r="A74" s="16" t="s">
        <v>116</v>
      </c>
      <c r="B74" s="17">
        <v>1000.36</v>
      </c>
      <c r="C74" s="17">
        <v>3051.5</v>
      </c>
      <c r="D74">
        <f t="shared" si="11"/>
        <v>3.05</v>
      </c>
      <c r="E74">
        <v>25</v>
      </c>
      <c r="F74" s="18">
        <v>43</v>
      </c>
      <c r="G74" s="5">
        <f t="shared" si="8"/>
        <v>68</v>
      </c>
      <c r="H74" s="5">
        <v>623</v>
      </c>
      <c r="I74">
        <f t="shared" si="9"/>
        <v>1.61</v>
      </c>
      <c r="J74">
        <f t="shared" si="10"/>
        <v>4.9</v>
      </c>
      <c r="K74">
        <f ca="1">LOOKUP(G74,lookup!$A$4:$B$16,lookup!$B$4:$B$16)</f>
        <v>1.23</v>
      </c>
      <c r="L74">
        <v>0</v>
      </c>
      <c r="M74">
        <v>0</v>
      </c>
    </row>
    <row r="75" spans="1:13">
      <c r="A75" s="16" t="s">
        <v>117</v>
      </c>
      <c r="B75" s="17">
        <v>1050.01</v>
      </c>
      <c r="C75" s="17">
        <v>3215.7</v>
      </c>
      <c r="D75">
        <f t="shared" si="11"/>
        <v>3.06</v>
      </c>
      <c r="E75">
        <v>25</v>
      </c>
      <c r="F75" s="18">
        <v>42</v>
      </c>
      <c r="G75" s="5">
        <f t="shared" si="8"/>
        <v>67</v>
      </c>
      <c r="H75" s="5">
        <v>623</v>
      </c>
      <c r="I75">
        <f t="shared" si="9"/>
        <v>1.69</v>
      </c>
      <c r="J75">
        <f t="shared" si="10"/>
        <v>5.16</v>
      </c>
      <c r="K75">
        <f ca="1">LOOKUP(G75,lookup!$A$4:$B$16,lookup!$B$4:$B$16)</f>
        <v>1.23</v>
      </c>
      <c r="L75">
        <v>1</v>
      </c>
      <c r="M75">
        <v>2</v>
      </c>
    </row>
    <row r="76" hidden="1" spans="1:13">
      <c r="A76" s="16" t="s">
        <v>118</v>
      </c>
      <c r="B76" s="17">
        <v>1065.65</v>
      </c>
      <c r="C76" s="17">
        <v>3267.8</v>
      </c>
      <c r="D76">
        <f t="shared" si="11"/>
        <v>3.07</v>
      </c>
      <c r="E76">
        <v>25</v>
      </c>
      <c r="F76" s="18">
        <v>41</v>
      </c>
      <c r="G76" s="5">
        <f t="shared" si="8"/>
        <v>66</v>
      </c>
      <c r="H76" s="5">
        <v>624</v>
      </c>
      <c r="I76">
        <f t="shared" si="9"/>
        <v>1.71</v>
      </c>
      <c r="J76">
        <f t="shared" si="10"/>
        <v>5.24</v>
      </c>
      <c r="K76">
        <f ca="1">LOOKUP(G76,lookup!$A$4:$B$16,lookup!$B$4:$B$16)</f>
        <v>1.23</v>
      </c>
      <c r="L76">
        <v>0</v>
      </c>
      <c r="M76">
        <v>0</v>
      </c>
    </row>
    <row r="77" hidden="1" spans="1:13">
      <c r="A77" s="16" t="s">
        <v>119</v>
      </c>
      <c r="B77" s="17">
        <v>1015.23</v>
      </c>
      <c r="C77" s="17">
        <v>3127.7</v>
      </c>
      <c r="D77">
        <f t="shared" si="11"/>
        <v>3.08</v>
      </c>
      <c r="E77">
        <v>25</v>
      </c>
      <c r="F77" s="18">
        <v>40</v>
      </c>
      <c r="G77" s="5">
        <f t="shared" si="8"/>
        <v>65</v>
      </c>
      <c r="H77" s="5">
        <v>624</v>
      </c>
      <c r="I77">
        <f t="shared" si="9"/>
        <v>1.63</v>
      </c>
      <c r="J77">
        <f t="shared" si="10"/>
        <v>5.01</v>
      </c>
      <c r="K77">
        <f ca="1">LOOKUP(G77,lookup!$A$4:$B$16,lookup!$B$4:$B$16)</f>
        <v>1.23</v>
      </c>
      <c r="L77">
        <v>0</v>
      </c>
      <c r="M77">
        <v>0</v>
      </c>
    </row>
    <row r="78" hidden="1" spans="1:13">
      <c r="A78" s="16" t="s">
        <v>120</v>
      </c>
      <c r="B78" s="17">
        <v>983.2</v>
      </c>
      <c r="C78" s="17">
        <v>3027.6</v>
      </c>
      <c r="D78">
        <f t="shared" si="11"/>
        <v>3.08</v>
      </c>
      <c r="E78">
        <v>25</v>
      </c>
      <c r="F78" s="18">
        <v>39</v>
      </c>
      <c r="G78" s="5">
        <f t="shared" si="8"/>
        <v>64</v>
      </c>
      <c r="H78" s="5">
        <v>624</v>
      </c>
      <c r="I78">
        <f t="shared" si="9"/>
        <v>1.58</v>
      </c>
      <c r="J78">
        <f t="shared" si="10"/>
        <v>4.85</v>
      </c>
      <c r="K78">
        <f ca="1">LOOKUP(G78,lookup!$A$4:$B$16,lookup!$B$4:$B$16)</f>
        <v>1.23</v>
      </c>
      <c r="L78">
        <v>0</v>
      </c>
      <c r="M78">
        <v>0</v>
      </c>
    </row>
    <row r="79" hidden="1" spans="1:13">
      <c r="A79" s="16" t="s">
        <v>121</v>
      </c>
      <c r="B79" s="17">
        <v>1004.68</v>
      </c>
      <c r="C79" s="17">
        <v>3119.4</v>
      </c>
      <c r="D79">
        <f t="shared" si="11"/>
        <v>3.1</v>
      </c>
      <c r="E79">
        <v>25</v>
      </c>
      <c r="F79" s="18">
        <v>38</v>
      </c>
      <c r="G79" s="5">
        <f t="shared" si="8"/>
        <v>63</v>
      </c>
      <c r="H79" s="5">
        <v>624</v>
      </c>
      <c r="I79">
        <f t="shared" si="9"/>
        <v>1.61</v>
      </c>
      <c r="J79">
        <f t="shared" si="10"/>
        <v>5</v>
      </c>
      <c r="K79">
        <f ca="1">LOOKUP(G79,lookup!$A$4:$B$16,lookup!$B$4:$B$16)</f>
        <v>1.23</v>
      </c>
      <c r="L79">
        <v>0</v>
      </c>
      <c r="M79">
        <v>0</v>
      </c>
    </row>
    <row r="80" hidden="1" spans="1:13">
      <c r="A80" s="16" t="s">
        <v>122</v>
      </c>
      <c r="B80" s="17">
        <v>1055.98</v>
      </c>
      <c r="C80" s="17">
        <v>3375.8</v>
      </c>
      <c r="D80">
        <f t="shared" si="11"/>
        <v>3.2</v>
      </c>
      <c r="E80">
        <v>25</v>
      </c>
      <c r="F80" s="18">
        <v>37</v>
      </c>
      <c r="G80" s="5">
        <f t="shared" si="8"/>
        <v>62</v>
      </c>
      <c r="H80" s="5">
        <v>624</v>
      </c>
      <c r="I80">
        <f t="shared" si="9"/>
        <v>1.69</v>
      </c>
      <c r="J80">
        <f t="shared" si="10"/>
        <v>5.41</v>
      </c>
      <c r="K80">
        <f ca="1">LOOKUP(G80,lookup!$A$4:$B$16,lookup!$B$4:$B$16)</f>
        <v>1.23</v>
      </c>
      <c r="L80">
        <v>0</v>
      </c>
      <c r="M80">
        <v>0</v>
      </c>
    </row>
    <row r="81" hidden="1" spans="1:13">
      <c r="A81" s="16" t="s">
        <v>123</v>
      </c>
      <c r="B81" s="17">
        <v>876.7</v>
      </c>
      <c r="C81" s="17">
        <v>4089.1</v>
      </c>
      <c r="D81">
        <f t="shared" si="11"/>
        <v>4.66</v>
      </c>
      <c r="E81">
        <v>25</v>
      </c>
      <c r="F81" s="18">
        <v>36</v>
      </c>
      <c r="G81" s="5">
        <f t="shared" si="8"/>
        <v>61</v>
      </c>
      <c r="H81" s="5">
        <v>624</v>
      </c>
      <c r="I81">
        <f t="shared" si="9"/>
        <v>1.4</v>
      </c>
      <c r="J81">
        <f t="shared" si="10"/>
        <v>6.55</v>
      </c>
      <c r="K81">
        <f ca="1">LOOKUP(G81,lookup!$A$4:$B$16,lookup!$B$4:$B$16)</f>
        <v>1.23</v>
      </c>
      <c r="L81">
        <v>0</v>
      </c>
      <c r="M81">
        <v>0</v>
      </c>
    </row>
    <row r="82" hidden="1" spans="1:13">
      <c r="A82" s="16" t="s">
        <v>124</v>
      </c>
      <c r="B82" s="17">
        <v>1269.35</v>
      </c>
      <c r="C82" s="17">
        <v>3924.1</v>
      </c>
      <c r="D82">
        <f t="shared" si="11"/>
        <v>3.09</v>
      </c>
      <c r="E82">
        <v>25</v>
      </c>
      <c r="F82" s="18">
        <v>35</v>
      </c>
      <c r="G82" s="5">
        <f t="shared" si="8"/>
        <v>60</v>
      </c>
      <c r="H82" s="5">
        <v>624</v>
      </c>
      <c r="I82">
        <f t="shared" si="9"/>
        <v>2.03</v>
      </c>
      <c r="J82">
        <f t="shared" si="10"/>
        <v>6.29</v>
      </c>
      <c r="K82">
        <f ca="1">LOOKUP(G82,lookup!$A$4:$B$16,lookup!$B$4:$B$16)</f>
        <v>0.97</v>
      </c>
      <c r="L82">
        <v>0</v>
      </c>
      <c r="M82">
        <v>0</v>
      </c>
    </row>
    <row r="83" hidden="1" spans="1:13">
      <c r="A83" s="16" t="s">
        <v>125</v>
      </c>
      <c r="B83" s="17">
        <v>1269.35</v>
      </c>
      <c r="C83" s="17">
        <v>3924.1</v>
      </c>
      <c r="D83">
        <f t="shared" si="11"/>
        <v>3.09</v>
      </c>
      <c r="E83">
        <v>25</v>
      </c>
      <c r="F83" s="18">
        <v>34</v>
      </c>
      <c r="G83" s="5">
        <f t="shared" si="8"/>
        <v>59</v>
      </c>
      <c r="H83" s="5">
        <v>825</v>
      </c>
      <c r="I83">
        <f t="shared" si="9"/>
        <v>1.54</v>
      </c>
      <c r="J83">
        <f t="shared" si="10"/>
        <v>4.76</v>
      </c>
      <c r="K83">
        <f ca="1">LOOKUP(G83,lookup!$A$4:$B$16,lookup!$B$4:$B$16)</f>
        <v>0.97</v>
      </c>
      <c r="L83">
        <v>0</v>
      </c>
      <c r="M83">
        <v>0</v>
      </c>
    </row>
    <row r="84" hidden="1" spans="1:13">
      <c r="A84" s="16" t="s">
        <v>126</v>
      </c>
      <c r="B84" s="17">
        <v>1280.25</v>
      </c>
      <c r="C84" s="17">
        <v>3936.4</v>
      </c>
      <c r="D84">
        <f t="shared" si="11"/>
        <v>3.07</v>
      </c>
      <c r="E84">
        <v>25</v>
      </c>
      <c r="F84" s="18">
        <v>33</v>
      </c>
      <c r="G84" s="5">
        <f t="shared" si="8"/>
        <v>58</v>
      </c>
      <c r="H84" s="5">
        <v>825</v>
      </c>
      <c r="I84">
        <f t="shared" si="9"/>
        <v>1.55</v>
      </c>
      <c r="J84">
        <f t="shared" si="10"/>
        <v>4.77</v>
      </c>
      <c r="K84">
        <f ca="1">LOOKUP(G84,lookup!$A$4:$B$16,lookup!$B$4:$B$16)</f>
        <v>0.97</v>
      </c>
      <c r="L84">
        <v>0</v>
      </c>
      <c r="M84">
        <v>0</v>
      </c>
    </row>
    <row r="85" hidden="1" spans="1:13">
      <c r="A85" s="16" t="s">
        <v>127</v>
      </c>
      <c r="B85" s="17">
        <v>1223.71</v>
      </c>
      <c r="C85" s="17">
        <v>3792</v>
      </c>
      <c r="D85">
        <f t="shared" si="11"/>
        <v>3.1</v>
      </c>
      <c r="E85">
        <v>25</v>
      </c>
      <c r="F85" s="18">
        <v>32</v>
      </c>
      <c r="G85" s="5">
        <f t="shared" si="8"/>
        <v>57</v>
      </c>
      <c r="H85" s="5">
        <v>825</v>
      </c>
      <c r="I85">
        <f t="shared" si="9"/>
        <v>1.48</v>
      </c>
      <c r="J85">
        <f t="shared" si="10"/>
        <v>4.6</v>
      </c>
      <c r="K85">
        <f ca="1">LOOKUP(G85,lookup!$A$4:$B$16,lookup!$B$4:$B$16)</f>
        <v>0.97</v>
      </c>
      <c r="L85">
        <v>0</v>
      </c>
      <c r="M85">
        <v>0</v>
      </c>
    </row>
    <row r="86" hidden="1" spans="1:13">
      <c r="A86" s="16" t="s">
        <v>128</v>
      </c>
      <c r="B86" s="17">
        <v>1105.26</v>
      </c>
      <c r="C86" s="17">
        <v>3383.8</v>
      </c>
      <c r="D86">
        <f t="shared" si="11"/>
        <v>3.06</v>
      </c>
      <c r="E86">
        <v>25</v>
      </c>
      <c r="F86" s="18">
        <v>31</v>
      </c>
      <c r="G86" s="5">
        <f t="shared" si="8"/>
        <v>56</v>
      </c>
      <c r="H86" s="5">
        <v>825</v>
      </c>
      <c r="I86">
        <f t="shared" si="9"/>
        <v>1.34</v>
      </c>
      <c r="J86">
        <f t="shared" si="10"/>
        <v>4.1</v>
      </c>
      <c r="K86">
        <f ca="1">LOOKUP(G86,lookup!$A$4:$B$16,lookup!$B$4:$B$16)</f>
        <v>0.97</v>
      </c>
      <c r="L86">
        <v>0</v>
      </c>
      <c r="M86">
        <v>0</v>
      </c>
    </row>
    <row r="87" hidden="1" spans="1:13">
      <c r="A87" s="16" t="s">
        <v>129</v>
      </c>
      <c r="B87" s="17">
        <v>1210.22</v>
      </c>
      <c r="C87" s="17">
        <v>3720.4</v>
      </c>
      <c r="D87">
        <f t="shared" si="11"/>
        <v>3.07</v>
      </c>
      <c r="E87">
        <v>25</v>
      </c>
      <c r="F87" s="18">
        <v>30</v>
      </c>
      <c r="G87" s="5">
        <f t="shared" si="8"/>
        <v>55</v>
      </c>
      <c r="H87" s="5">
        <v>825</v>
      </c>
      <c r="I87">
        <f t="shared" si="9"/>
        <v>1.47</v>
      </c>
      <c r="J87">
        <f t="shared" si="10"/>
        <v>4.51</v>
      </c>
      <c r="K87">
        <f ca="1">LOOKUP(G87,lookup!$A$4:$B$16,lookup!$B$4:$B$16)</f>
        <v>0.97</v>
      </c>
      <c r="L87">
        <v>0</v>
      </c>
      <c r="M87">
        <v>0</v>
      </c>
    </row>
    <row r="88" hidden="1" spans="1:13">
      <c r="A88" s="16" t="s">
        <v>130</v>
      </c>
      <c r="B88" s="17">
        <v>1116.12</v>
      </c>
      <c r="C88" s="17">
        <v>3456.1</v>
      </c>
      <c r="D88">
        <f t="shared" si="11"/>
        <v>3.1</v>
      </c>
      <c r="E88">
        <v>25</v>
      </c>
      <c r="F88" s="18">
        <v>29</v>
      </c>
      <c r="G88" s="5">
        <f t="shared" si="8"/>
        <v>54</v>
      </c>
      <c r="H88" s="5">
        <v>825</v>
      </c>
      <c r="I88">
        <f t="shared" si="9"/>
        <v>1.35</v>
      </c>
      <c r="J88">
        <f t="shared" si="10"/>
        <v>4.19</v>
      </c>
      <c r="K88">
        <f ca="1">LOOKUP(G88,lookup!$A$4:$B$16,lookup!$B$4:$B$16)</f>
        <v>0.97</v>
      </c>
      <c r="L88">
        <v>0</v>
      </c>
      <c r="M88">
        <v>0</v>
      </c>
    </row>
    <row r="89" hidden="1" spans="1:13">
      <c r="A89" s="16" t="s">
        <v>131</v>
      </c>
      <c r="B89" s="17">
        <v>1014.37</v>
      </c>
      <c r="C89" s="17">
        <v>3175.7</v>
      </c>
      <c r="D89">
        <f t="shared" si="11"/>
        <v>3.13</v>
      </c>
      <c r="E89">
        <v>25</v>
      </c>
      <c r="F89" s="18">
        <v>28</v>
      </c>
      <c r="G89" s="5">
        <f t="shared" si="8"/>
        <v>53</v>
      </c>
      <c r="H89" s="5">
        <v>825</v>
      </c>
      <c r="I89">
        <f t="shared" si="9"/>
        <v>1.23</v>
      </c>
      <c r="J89">
        <f t="shared" si="10"/>
        <v>3.85</v>
      </c>
      <c r="K89">
        <f ca="1">LOOKUP(G89,lookup!$A$4:$B$16,lookup!$B$4:$B$16)</f>
        <v>0.75</v>
      </c>
      <c r="L89">
        <v>0</v>
      </c>
      <c r="M89">
        <v>0</v>
      </c>
    </row>
    <row r="90" hidden="1" spans="1:13">
      <c r="A90" s="16" t="s">
        <v>132</v>
      </c>
      <c r="B90" s="17">
        <v>953.6</v>
      </c>
      <c r="C90" s="17">
        <v>3024</v>
      </c>
      <c r="D90">
        <f t="shared" si="11"/>
        <v>3.17</v>
      </c>
      <c r="E90">
        <v>25</v>
      </c>
      <c r="F90" s="18">
        <v>27</v>
      </c>
      <c r="G90" s="5">
        <f t="shared" si="8"/>
        <v>52</v>
      </c>
      <c r="H90" s="5">
        <v>825</v>
      </c>
      <c r="I90">
        <f t="shared" si="9"/>
        <v>1.16</v>
      </c>
      <c r="J90">
        <f t="shared" si="10"/>
        <v>3.67</v>
      </c>
      <c r="K90">
        <f ca="1">LOOKUP(G90,lookup!$A$4:$B$16,lookup!$B$4:$B$16)</f>
        <v>0.75</v>
      </c>
      <c r="L90">
        <v>0</v>
      </c>
      <c r="M90">
        <v>0</v>
      </c>
    </row>
    <row r="91" hidden="1" spans="1:13">
      <c r="A91" s="16" t="s">
        <v>133</v>
      </c>
      <c r="B91" s="17">
        <v>881.2</v>
      </c>
      <c r="C91" s="17">
        <v>2768</v>
      </c>
      <c r="D91">
        <f t="shared" si="11"/>
        <v>3.14</v>
      </c>
      <c r="E91">
        <v>25</v>
      </c>
      <c r="F91" s="18">
        <v>26</v>
      </c>
      <c r="G91" s="5">
        <f t="shared" si="8"/>
        <v>51</v>
      </c>
      <c r="H91" s="5">
        <v>825</v>
      </c>
      <c r="I91">
        <f t="shared" si="9"/>
        <v>1.07</v>
      </c>
      <c r="J91">
        <f t="shared" si="10"/>
        <v>3.36</v>
      </c>
      <c r="K91">
        <f ca="1">LOOKUP(G91,lookup!$A$4:$B$16,lookup!$B$4:$B$16)</f>
        <v>0.75</v>
      </c>
      <c r="L91">
        <v>0</v>
      </c>
      <c r="M91">
        <v>0</v>
      </c>
    </row>
    <row r="92" hidden="1" spans="1:13">
      <c r="A92" s="16" t="s">
        <v>134</v>
      </c>
      <c r="B92" s="17">
        <v>888</v>
      </c>
      <c r="C92" s="17">
        <v>2800</v>
      </c>
      <c r="D92">
        <f t="shared" si="11"/>
        <v>3.15</v>
      </c>
      <c r="E92">
        <v>25</v>
      </c>
      <c r="F92" s="18">
        <v>25</v>
      </c>
      <c r="G92" s="5">
        <f t="shared" si="8"/>
        <v>50</v>
      </c>
      <c r="H92" s="5">
        <v>825</v>
      </c>
      <c r="I92">
        <f t="shared" si="9"/>
        <v>1.08</v>
      </c>
      <c r="J92">
        <f t="shared" si="10"/>
        <v>3.39</v>
      </c>
      <c r="K92">
        <f ca="1">LOOKUP(G92,lookup!$A$4:$B$16,lookup!$B$4:$B$16)</f>
        <v>0.75</v>
      </c>
      <c r="L92">
        <v>0</v>
      </c>
      <c r="M92">
        <v>0</v>
      </c>
    </row>
    <row r="93" spans="1:13">
      <c r="A93" s="16" t="s">
        <v>135</v>
      </c>
      <c r="B93" s="17">
        <v>887.6</v>
      </c>
      <c r="C93" s="17">
        <v>2784</v>
      </c>
      <c r="D93">
        <f t="shared" si="11"/>
        <v>3.14</v>
      </c>
      <c r="E93">
        <v>25</v>
      </c>
      <c r="F93" s="18">
        <v>24</v>
      </c>
      <c r="G93" s="5">
        <f t="shared" si="8"/>
        <v>49</v>
      </c>
      <c r="H93" s="5">
        <v>825</v>
      </c>
      <c r="I93">
        <f t="shared" si="9"/>
        <v>1.08</v>
      </c>
      <c r="J93">
        <f t="shared" si="10"/>
        <v>3.37</v>
      </c>
      <c r="K93">
        <f ca="1">LOOKUP(G93,lookup!$A$4:$B$16,lookup!$B$4:$B$16)</f>
        <v>0.75</v>
      </c>
      <c r="L93">
        <v>1</v>
      </c>
      <c r="M93">
        <v>2</v>
      </c>
    </row>
    <row r="94" spans="1:13">
      <c r="A94" s="16" t="s">
        <v>136</v>
      </c>
      <c r="B94" s="17">
        <v>890</v>
      </c>
      <c r="C94" s="17">
        <v>2784</v>
      </c>
      <c r="D94">
        <f t="shared" si="11"/>
        <v>3.13</v>
      </c>
      <c r="E94">
        <v>25</v>
      </c>
      <c r="F94" s="18">
        <v>23</v>
      </c>
      <c r="G94" s="5">
        <f t="shared" si="8"/>
        <v>48</v>
      </c>
      <c r="H94" s="5">
        <v>826</v>
      </c>
      <c r="I94">
        <f t="shared" si="9"/>
        <v>1.08</v>
      </c>
      <c r="J94">
        <f t="shared" si="10"/>
        <v>3.37</v>
      </c>
      <c r="K94">
        <f ca="1">LOOKUP(G94,lookup!$A$4:$B$16,lookup!$B$4:$B$16)</f>
        <v>0.75</v>
      </c>
      <c r="L94">
        <v>1</v>
      </c>
      <c r="M94">
        <v>4</v>
      </c>
    </row>
    <row r="95" hidden="1" spans="1:13">
      <c r="A95" s="16" t="s">
        <v>137</v>
      </c>
      <c r="B95" s="17">
        <v>885.6</v>
      </c>
      <c r="C95" s="17">
        <v>2768</v>
      </c>
      <c r="D95">
        <f t="shared" si="11"/>
        <v>3.13</v>
      </c>
      <c r="E95">
        <v>25</v>
      </c>
      <c r="F95" s="18">
        <v>22</v>
      </c>
      <c r="G95" s="5">
        <f t="shared" si="8"/>
        <v>47</v>
      </c>
      <c r="H95" s="5">
        <v>827</v>
      </c>
      <c r="I95">
        <f t="shared" si="9"/>
        <v>1.07</v>
      </c>
      <c r="J95">
        <f t="shared" si="10"/>
        <v>3.35</v>
      </c>
      <c r="K95">
        <f ca="1">LOOKUP(G95,lookup!$A$4:$B$16,lookup!$B$4:$B$16)</f>
        <v>0.75</v>
      </c>
      <c r="L95">
        <v>0</v>
      </c>
      <c r="M95">
        <v>0</v>
      </c>
    </row>
    <row r="96" hidden="1" spans="1:13">
      <c r="A96" s="16" t="s">
        <v>138</v>
      </c>
      <c r="B96" s="17">
        <v>855.2</v>
      </c>
      <c r="C96" s="17">
        <v>2704</v>
      </c>
      <c r="D96">
        <f t="shared" si="11"/>
        <v>3.16</v>
      </c>
      <c r="E96">
        <v>25</v>
      </c>
      <c r="F96" s="18">
        <v>21</v>
      </c>
      <c r="G96" s="5">
        <f t="shared" si="8"/>
        <v>46</v>
      </c>
      <c r="H96" s="5">
        <v>827</v>
      </c>
      <c r="I96">
        <f t="shared" si="9"/>
        <v>1.03</v>
      </c>
      <c r="J96">
        <f t="shared" si="10"/>
        <v>3.27</v>
      </c>
      <c r="K96">
        <f ca="1">LOOKUP(G96,lookup!$A$4:$B$16,lookup!$B$4:$B$16)</f>
        <v>0.75</v>
      </c>
      <c r="L96">
        <v>0</v>
      </c>
      <c r="M96">
        <v>0</v>
      </c>
    </row>
    <row r="97" hidden="1" spans="1:13">
      <c r="A97" s="16" t="s">
        <v>139</v>
      </c>
      <c r="B97" s="17">
        <v>872.4</v>
      </c>
      <c r="C97" s="17">
        <v>2752</v>
      </c>
      <c r="D97">
        <f t="shared" si="11"/>
        <v>3.15</v>
      </c>
      <c r="E97">
        <v>25</v>
      </c>
      <c r="F97" s="18">
        <v>20</v>
      </c>
      <c r="G97" s="5">
        <f t="shared" si="8"/>
        <v>45</v>
      </c>
      <c r="H97" s="5">
        <v>827</v>
      </c>
      <c r="I97">
        <f t="shared" si="9"/>
        <v>1.05</v>
      </c>
      <c r="J97">
        <f t="shared" si="10"/>
        <v>3.33</v>
      </c>
      <c r="K97">
        <f ca="1">LOOKUP(G97,lookup!$A$4:$B$16,lookup!$B$4:$B$16)</f>
        <v>0.75</v>
      </c>
      <c r="L97">
        <v>0</v>
      </c>
      <c r="M97">
        <v>0</v>
      </c>
    </row>
    <row r="98" hidden="1" spans="1:13">
      <c r="A98" s="16" t="s">
        <v>140</v>
      </c>
      <c r="B98" s="17">
        <v>886.8</v>
      </c>
      <c r="C98" s="17">
        <v>2824</v>
      </c>
      <c r="D98">
        <f t="shared" si="11"/>
        <v>3.18</v>
      </c>
      <c r="E98">
        <v>25</v>
      </c>
      <c r="F98" s="18">
        <v>19</v>
      </c>
      <c r="G98" s="5">
        <f t="shared" si="8"/>
        <v>44</v>
      </c>
      <c r="H98" s="5">
        <v>827</v>
      </c>
      <c r="I98">
        <f t="shared" si="9"/>
        <v>1.07</v>
      </c>
      <c r="J98">
        <f t="shared" si="10"/>
        <v>3.41</v>
      </c>
      <c r="K98">
        <f ca="1">LOOKUP(G98,lookup!$A$4:$B$16,lookup!$B$4:$B$16)</f>
        <v>0.75</v>
      </c>
      <c r="L98">
        <v>0</v>
      </c>
      <c r="M98">
        <v>0</v>
      </c>
    </row>
    <row r="99" hidden="1" spans="1:13">
      <c r="A99" s="16" t="s">
        <v>141</v>
      </c>
      <c r="B99" s="17">
        <v>806.4</v>
      </c>
      <c r="C99" s="17">
        <v>2548</v>
      </c>
      <c r="D99">
        <f t="shared" si="11"/>
        <v>3.16</v>
      </c>
      <c r="E99">
        <v>25</v>
      </c>
      <c r="F99" s="18">
        <v>18</v>
      </c>
      <c r="G99" s="5">
        <f t="shared" si="8"/>
        <v>43</v>
      </c>
      <c r="H99" s="5">
        <v>827</v>
      </c>
      <c r="I99">
        <f t="shared" si="9"/>
        <v>0.98</v>
      </c>
      <c r="J99">
        <f t="shared" si="10"/>
        <v>3.08</v>
      </c>
      <c r="K99">
        <f ca="1">LOOKUP(G99,lookup!$A$4:$B$16,lookup!$B$4:$B$16)</f>
        <v>0.75</v>
      </c>
      <c r="L99">
        <v>0</v>
      </c>
      <c r="M99">
        <v>0</v>
      </c>
    </row>
    <row r="100" hidden="1" spans="1:13">
      <c r="A100" s="16" t="s">
        <v>142</v>
      </c>
      <c r="B100" s="17">
        <v>775.2</v>
      </c>
      <c r="C100" s="17">
        <v>2496</v>
      </c>
      <c r="D100">
        <f t="shared" si="11"/>
        <v>3.22</v>
      </c>
      <c r="E100">
        <v>25</v>
      </c>
      <c r="F100" s="18">
        <v>17</v>
      </c>
      <c r="G100" s="5">
        <f t="shared" si="8"/>
        <v>42</v>
      </c>
      <c r="H100" s="5">
        <v>827</v>
      </c>
      <c r="I100">
        <f t="shared" si="9"/>
        <v>0.94</v>
      </c>
      <c r="J100">
        <f t="shared" si="10"/>
        <v>3.02</v>
      </c>
      <c r="K100">
        <f ca="1">LOOKUP(G100,lookup!$A$4:$B$16,lookup!$B$4:$B$16)</f>
        <v>0.75</v>
      </c>
      <c r="L100">
        <v>0</v>
      </c>
      <c r="M100">
        <v>0</v>
      </c>
    </row>
    <row r="101" hidden="1" spans="1:13">
      <c r="A101" s="16" t="s">
        <v>143</v>
      </c>
      <c r="B101" s="17">
        <v>727.6</v>
      </c>
      <c r="C101" s="17">
        <v>2348</v>
      </c>
      <c r="D101">
        <f t="shared" si="11"/>
        <v>3.23</v>
      </c>
      <c r="E101">
        <v>25</v>
      </c>
      <c r="F101" s="18">
        <v>16</v>
      </c>
      <c r="G101" s="5">
        <f t="shared" si="8"/>
        <v>41</v>
      </c>
      <c r="H101" s="5">
        <v>827</v>
      </c>
      <c r="I101">
        <f t="shared" si="9"/>
        <v>0.88</v>
      </c>
      <c r="J101">
        <f t="shared" si="10"/>
        <v>2.84</v>
      </c>
      <c r="K101">
        <f ca="1">LOOKUP(G101,lookup!$A$4:$B$16,lookup!$B$4:$B$16)</f>
        <v>0.75</v>
      </c>
      <c r="L101">
        <v>0</v>
      </c>
      <c r="M101">
        <v>0</v>
      </c>
    </row>
    <row r="102" hidden="1" spans="1:13">
      <c r="A102" s="16" t="s">
        <v>144</v>
      </c>
      <c r="B102" s="17">
        <v>690</v>
      </c>
      <c r="C102" s="17">
        <v>2260</v>
      </c>
      <c r="D102">
        <f t="shared" si="11"/>
        <v>3.28</v>
      </c>
      <c r="E102">
        <v>25</v>
      </c>
      <c r="F102" s="18">
        <v>15</v>
      </c>
      <c r="G102" s="5">
        <f t="shared" si="8"/>
        <v>40</v>
      </c>
      <c r="H102" s="5">
        <v>827</v>
      </c>
      <c r="I102">
        <f t="shared" si="9"/>
        <v>0.83</v>
      </c>
      <c r="J102">
        <f t="shared" si="10"/>
        <v>2.73</v>
      </c>
      <c r="K102">
        <f ca="1">LOOKUP(G102,lookup!$A$4:$B$16,lookup!$B$4:$B$16)</f>
        <v>0.75</v>
      </c>
      <c r="L102">
        <v>0</v>
      </c>
      <c r="M102">
        <v>0</v>
      </c>
    </row>
    <row r="103" hidden="1" spans="1:13">
      <c r="A103" s="16" t="s">
        <v>145</v>
      </c>
      <c r="B103" s="17">
        <v>621.6</v>
      </c>
      <c r="C103" s="17">
        <v>2008</v>
      </c>
      <c r="D103">
        <f t="shared" si="11"/>
        <v>3.23</v>
      </c>
      <c r="E103">
        <v>25</v>
      </c>
      <c r="F103" s="18">
        <v>14</v>
      </c>
      <c r="G103" s="5">
        <f t="shared" si="8"/>
        <v>39</v>
      </c>
      <c r="H103" s="5">
        <v>827</v>
      </c>
      <c r="I103">
        <f t="shared" si="9"/>
        <v>0.75</v>
      </c>
      <c r="J103">
        <f t="shared" si="10"/>
        <v>2.43</v>
      </c>
      <c r="K103">
        <f ca="1">LOOKUP(G103,lookup!$A$4:$B$16,lookup!$B$4:$B$16)</f>
        <v>0.46</v>
      </c>
      <c r="L103">
        <v>0</v>
      </c>
      <c r="M103">
        <v>0</v>
      </c>
    </row>
    <row r="104" hidden="1" spans="1:13">
      <c r="A104" s="16" t="s">
        <v>146</v>
      </c>
      <c r="B104" s="17">
        <v>547.2</v>
      </c>
      <c r="C104" s="17">
        <v>1772</v>
      </c>
      <c r="D104">
        <f t="shared" si="11"/>
        <v>3.24</v>
      </c>
      <c r="E104">
        <v>25</v>
      </c>
      <c r="F104" s="18">
        <v>13</v>
      </c>
      <c r="G104" s="5">
        <f t="shared" si="8"/>
        <v>38</v>
      </c>
      <c r="H104" s="5">
        <v>827</v>
      </c>
      <c r="I104">
        <f t="shared" si="9"/>
        <v>0.66</v>
      </c>
      <c r="J104">
        <f t="shared" si="10"/>
        <v>2.14</v>
      </c>
      <c r="K104">
        <f ca="1">LOOKUP(G104,lookup!$A$4:$B$16,lookup!$B$4:$B$16)</f>
        <v>0.46</v>
      </c>
      <c r="L104">
        <v>0</v>
      </c>
      <c r="M104">
        <v>0</v>
      </c>
    </row>
    <row r="105" hidden="1" spans="1:13">
      <c r="A105" s="16" t="s">
        <v>147</v>
      </c>
      <c r="B105" s="17">
        <v>482.8</v>
      </c>
      <c r="C105" s="17">
        <v>1600</v>
      </c>
      <c r="D105">
        <f t="shared" si="11"/>
        <v>3.31</v>
      </c>
      <c r="E105">
        <v>25</v>
      </c>
      <c r="F105" s="18">
        <v>12</v>
      </c>
      <c r="G105" s="5">
        <f t="shared" si="8"/>
        <v>37</v>
      </c>
      <c r="H105" s="5">
        <v>827</v>
      </c>
      <c r="I105">
        <f t="shared" si="9"/>
        <v>0.58</v>
      </c>
      <c r="J105">
        <f t="shared" si="10"/>
        <v>1.93</v>
      </c>
      <c r="K105">
        <f ca="1">LOOKUP(G105,lookup!$A$4:$B$16,lookup!$B$4:$B$16)</f>
        <v>0.46</v>
      </c>
      <c r="L105">
        <v>0</v>
      </c>
      <c r="M105">
        <v>0</v>
      </c>
    </row>
    <row r="106" hidden="1" spans="1:13">
      <c r="A106" s="16" t="s">
        <v>148</v>
      </c>
      <c r="B106" s="17">
        <v>370</v>
      </c>
      <c r="C106" s="17">
        <v>1244</v>
      </c>
      <c r="D106">
        <f t="shared" si="11"/>
        <v>3.36</v>
      </c>
      <c r="E106">
        <v>25</v>
      </c>
      <c r="F106" s="18">
        <v>11</v>
      </c>
      <c r="G106" s="5">
        <f t="shared" si="8"/>
        <v>36</v>
      </c>
      <c r="H106" s="5">
        <v>827</v>
      </c>
      <c r="I106">
        <f t="shared" si="9"/>
        <v>0.45</v>
      </c>
      <c r="J106">
        <f t="shared" si="10"/>
        <v>1.5</v>
      </c>
      <c r="K106">
        <f ca="1">LOOKUP(G106,lookup!$A$4:$B$16,lookup!$B$4:$B$16)</f>
        <v>0.46</v>
      </c>
      <c r="L106">
        <v>0</v>
      </c>
      <c r="M106">
        <v>0</v>
      </c>
    </row>
    <row r="107" hidden="1" spans="1:13">
      <c r="A107" s="16" t="s">
        <v>149</v>
      </c>
      <c r="B107" s="17">
        <v>286.8</v>
      </c>
      <c r="C107" s="17">
        <v>964</v>
      </c>
      <c r="D107">
        <f t="shared" si="11"/>
        <v>3.36</v>
      </c>
      <c r="E107">
        <v>25</v>
      </c>
      <c r="F107" s="18">
        <v>10</v>
      </c>
      <c r="G107" s="5">
        <f t="shared" si="8"/>
        <v>35</v>
      </c>
      <c r="H107" s="5">
        <v>827</v>
      </c>
      <c r="I107">
        <f t="shared" si="9"/>
        <v>0.35</v>
      </c>
      <c r="J107">
        <f t="shared" si="10"/>
        <v>1.17</v>
      </c>
      <c r="K107">
        <f ca="1">LOOKUP(G107,lookup!$A$4:$B$16,lookup!$B$4:$B$16)</f>
        <v>0.46</v>
      </c>
      <c r="L107">
        <v>0</v>
      </c>
      <c r="M107">
        <v>0</v>
      </c>
    </row>
    <row r="108" hidden="1" spans="1:13">
      <c r="A108" s="16" t="s">
        <v>150</v>
      </c>
      <c r="B108" s="17">
        <v>244.4</v>
      </c>
      <c r="C108" s="17">
        <v>852</v>
      </c>
      <c r="D108">
        <f t="shared" si="11"/>
        <v>3.49</v>
      </c>
      <c r="E108">
        <v>25</v>
      </c>
      <c r="F108" s="18">
        <v>9</v>
      </c>
      <c r="G108" s="5">
        <f t="shared" si="8"/>
        <v>34</v>
      </c>
      <c r="H108" s="5">
        <v>827</v>
      </c>
      <c r="I108">
        <f t="shared" si="9"/>
        <v>0.3</v>
      </c>
      <c r="J108">
        <f t="shared" si="10"/>
        <v>1.03</v>
      </c>
      <c r="K108">
        <f ca="1">LOOKUP(G108,lookup!$A$4:$B$16,lookup!$B$4:$B$16)</f>
        <v>0.46</v>
      </c>
      <c r="L108">
        <v>0</v>
      </c>
      <c r="M108">
        <v>0</v>
      </c>
    </row>
    <row r="109" hidden="1" spans="1:13">
      <c r="A109" s="16" t="s">
        <v>151</v>
      </c>
      <c r="B109" s="17">
        <v>252.4</v>
      </c>
      <c r="C109" s="17">
        <v>836</v>
      </c>
      <c r="D109">
        <f t="shared" si="11"/>
        <v>3.31</v>
      </c>
      <c r="E109">
        <v>25</v>
      </c>
      <c r="F109" s="18">
        <v>8</v>
      </c>
      <c r="G109" s="5">
        <f t="shared" si="8"/>
        <v>33</v>
      </c>
      <c r="H109" s="5">
        <v>827</v>
      </c>
      <c r="I109">
        <f t="shared" si="9"/>
        <v>0.31</v>
      </c>
      <c r="J109">
        <f t="shared" si="10"/>
        <v>1.01</v>
      </c>
      <c r="K109">
        <f ca="1">LOOKUP(G109,lookup!$A$4:$B$16,lookup!$B$4:$B$16)</f>
        <v>0.46</v>
      </c>
      <c r="L109">
        <v>0</v>
      </c>
      <c r="M109">
        <v>0</v>
      </c>
    </row>
    <row r="110" hidden="1" spans="1:13">
      <c r="A110" s="16" t="s">
        <v>152</v>
      </c>
      <c r="B110" s="17">
        <v>289.2</v>
      </c>
      <c r="C110" s="17">
        <v>968</v>
      </c>
      <c r="D110">
        <f t="shared" si="11"/>
        <v>3.35</v>
      </c>
      <c r="E110">
        <v>25</v>
      </c>
      <c r="F110" s="18">
        <v>7</v>
      </c>
      <c r="G110" s="5">
        <f t="shared" si="8"/>
        <v>32</v>
      </c>
      <c r="H110" s="5">
        <v>827</v>
      </c>
      <c r="I110">
        <f t="shared" si="9"/>
        <v>0.35</v>
      </c>
      <c r="J110">
        <f t="shared" si="10"/>
        <v>1.17</v>
      </c>
      <c r="K110">
        <f ca="1">LOOKUP(G110,lookup!$A$4:$B$16,lookup!$B$4:$B$16)</f>
        <v>0.46</v>
      </c>
      <c r="L110">
        <v>0</v>
      </c>
      <c r="M110">
        <v>0</v>
      </c>
    </row>
    <row r="111" hidden="1" spans="1:13">
      <c r="A111" s="16" t="s">
        <v>153</v>
      </c>
      <c r="B111" s="17">
        <v>324.4</v>
      </c>
      <c r="C111" s="17">
        <v>1040</v>
      </c>
      <c r="D111">
        <f t="shared" si="11"/>
        <v>3.21</v>
      </c>
      <c r="E111">
        <v>25</v>
      </c>
      <c r="F111" s="18">
        <v>6</v>
      </c>
      <c r="G111" s="5">
        <f t="shared" si="8"/>
        <v>31</v>
      </c>
      <c r="H111" s="5">
        <v>827</v>
      </c>
      <c r="I111">
        <f t="shared" si="9"/>
        <v>0.39</v>
      </c>
      <c r="J111">
        <f t="shared" si="10"/>
        <v>1.26</v>
      </c>
      <c r="K111">
        <f ca="1">LOOKUP(G111,lookup!$A$4:$B$16,lookup!$B$4:$B$16)</f>
        <v>0.46</v>
      </c>
      <c r="L111">
        <v>0</v>
      </c>
      <c r="M111">
        <v>0</v>
      </c>
    </row>
    <row r="112" hidden="1" spans="1:13">
      <c r="A112" s="16" t="s">
        <v>154</v>
      </c>
      <c r="B112" s="17">
        <v>262</v>
      </c>
      <c r="C112" s="17">
        <v>1012</v>
      </c>
      <c r="D112">
        <f t="shared" si="11"/>
        <v>3.86</v>
      </c>
      <c r="E112">
        <v>25</v>
      </c>
      <c r="F112" s="18">
        <v>5</v>
      </c>
      <c r="G112" s="5">
        <f t="shared" si="8"/>
        <v>30</v>
      </c>
      <c r="H112" s="5">
        <v>827</v>
      </c>
      <c r="I112">
        <f t="shared" si="9"/>
        <v>0.32</v>
      </c>
      <c r="J112">
        <f t="shared" si="10"/>
        <v>1.22</v>
      </c>
      <c r="K112">
        <f ca="1">LOOKUP(G112,lookup!$A$4:$B$16,lookup!$B$4:$B$16)</f>
        <v>0.25</v>
      </c>
      <c r="L112">
        <v>0</v>
      </c>
      <c r="M112">
        <v>0</v>
      </c>
    </row>
    <row r="113" hidden="1" spans="1:13">
      <c r="A113" s="16" t="s">
        <v>155</v>
      </c>
      <c r="B113" s="17">
        <v>186</v>
      </c>
      <c r="C113" s="17">
        <v>784</v>
      </c>
      <c r="D113">
        <f t="shared" si="11"/>
        <v>4.22</v>
      </c>
      <c r="E113">
        <v>25</v>
      </c>
      <c r="F113" s="18">
        <v>4</v>
      </c>
      <c r="G113" s="5">
        <f t="shared" si="8"/>
        <v>29</v>
      </c>
      <c r="H113" s="5">
        <v>827</v>
      </c>
      <c r="I113">
        <f t="shared" si="9"/>
        <v>0.22</v>
      </c>
      <c r="J113">
        <f t="shared" si="10"/>
        <v>0.95</v>
      </c>
      <c r="K113">
        <f ca="1">LOOKUP(G113,lookup!$A$4:$B$16,lookup!$B$4:$B$16)</f>
        <v>0.25</v>
      </c>
      <c r="L113">
        <v>0</v>
      </c>
      <c r="M113">
        <v>0</v>
      </c>
    </row>
    <row r="114" hidden="1" spans="1:13">
      <c r="A114" s="16" t="s">
        <v>156</v>
      </c>
      <c r="B114" s="17">
        <v>146.4</v>
      </c>
      <c r="C114" s="17">
        <v>664</v>
      </c>
      <c r="D114">
        <f t="shared" si="11"/>
        <v>4.54</v>
      </c>
      <c r="E114">
        <v>25</v>
      </c>
      <c r="F114" s="18">
        <v>3</v>
      </c>
      <c r="G114" s="5">
        <f t="shared" si="8"/>
        <v>28</v>
      </c>
      <c r="H114" s="5">
        <v>827</v>
      </c>
      <c r="I114">
        <f t="shared" si="9"/>
        <v>0.18</v>
      </c>
      <c r="J114">
        <f t="shared" si="10"/>
        <v>0.8</v>
      </c>
      <c r="K114">
        <f ca="1">LOOKUP(G114,lookup!$A$4:$B$16,lookup!$B$4:$B$16)</f>
        <v>0.25</v>
      </c>
      <c r="L114">
        <v>0</v>
      </c>
      <c r="M114">
        <v>0</v>
      </c>
    </row>
    <row r="115" spans="1:13">
      <c r="A115" s="16" t="s">
        <v>157</v>
      </c>
      <c r="B115" s="17">
        <v>116.4</v>
      </c>
      <c r="C115" s="17">
        <v>552</v>
      </c>
      <c r="D115">
        <f t="shared" si="11"/>
        <v>4.74</v>
      </c>
      <c r="E115">
        <v>25</v>
      </c>
      <c r="F115" s="18">
        <v>2</v>
      </c>
      <c r="G115" s="5">
        <f t="shared" si="8"/>
        <v>27</v>
      </c>
      <c r="H115" s="5">
        <v>827</v>
      </c>
      <c r="I115">
        <f t="shared" si="9"/>
        <v>0.14</v>
      </c>
      <c r="J115">
        <f t="shared" si="10"/>
        <v>0.67</v>
      </c>
      <c r="K115">
        <f ca="1">LOOKUP(G115,lookup!$A$4:$B$16,lookup!$B$4:$B$16)</f>
        <v>0.25</v>
      </c>
      <c r="L115" s="21">
        <v>1</v>
      </c>
      <c r="M115">
        <v>9</v>
      </c>
    </row>
    <row r="116" hidden="1" spans="1:13">
      <c r="A116" s="16" t="s">
        <v>158</v>
      </c>
      <c r="B116" s="17">
        <v>86.4</v>
      </c>
      <c r="C116" s="17">
        <v>380</v>
      </c>
      <c r="D116">
        <f t="shared" si="11"/>
        <v>4.4</v>
      </c>
      <c r="E116">
        <v>25</v>
      </c>
      <c r="F116" s="18">
        <v>1</v>
      </c>
      <c r="G116" s="5">
        <f t="shared" si="8"/>
        <v>26</v>
      </c>
      <c r="H116" s="5">
        <v>828</v>
      </c>
      <c r="I116">
        <f t="shared" si="9"/>
        <v>0.1</v>
      </c>
      <c r="J116">
        <f t="shared" si="10"/>
        <v>0.46</v>
      </c>
      <c r="K116">
        <f ca="1">LOOKUP(G116,lookup!$A$4:$B$16,lookup!$B$4:$B$16)</f>
        <v>0.25</v>
      </c>
      <c r="L116">
        <v>0</v>
      </c>
      <c r="M116">
        <v>0</v>
      </c>
    </row>
    <row r="117" spans="1:13">
      <c r="A117" s="19"/>
      <c r="B117" s="17"/>
      <c r="C117" s="17"/>
      <c r="F117" s="18"/>
    </row>
    <row r="118" spans="1:13">
      <c r="A118"/>
      <c r="B118"/>
      <c r="C118"/>
    </row>
    <row r="119" spans="1:13">
      <c r="A119"/>
      <c r="B119"/>
      <c r="C119"/>
    </row>
    <row r="120" spans="1:13">
      <c r="A120"/>
      <c r="B120"/>
      <c r="C120"/>
    </row>
    <row r="121" spans="1:13">
      <c r="A121"/>
      <c r="B121"/>
      <c r="C121"/>
    </row>
    <row r="122" spans="1:13">
      <c r="A122"/>
      <c r="B122"/>
      <c r="C122"/>
    </row>
    <row r="123" spans="1:13">
      <c r="A123"/>
      <c r="B123"/>
      <c r="C123"/>
    </row>
    <row r="124" spans="1:13">
      <c r="A124"/>
      <c r="B124"/>
      <c r="C124"/>
    </row>
    <row r="125" spans="1:13">
      <c r="A125"/>
      <c r="B125"/>
      <c r="C125"/>
    </row>
    <row r="126" spans="1:13">
      <c r="A126"/>
      <c r="B126"/>
      <c r="C126"/>
    </row>
    <row r="127" spans="1:13">
      <c r="A127"/>
      <c r="B127"/>
      <c r="C127"/>
    </row>
    <row r="128" spans="1:13">
      <c r="A128"/>
      <c r="B128"/>
      <c r="C128"/>
    </row>
    <row r="129" spans="1:8">
      <c r="A129"/>
      <c r="B129"/>
      <c r="C129"/>
    </row>
    <row r="130" spans="1:8">
      <c r="A130"/>
      <c r="B130"/>
      <c r="C130"/>
    </row>
    <row r="131" customFormat="1" spans="1:8">
      <c r="G131" s="5"/>
      <c r="H131" s="5"/>
    </row>
    <row r="132" customFormat="1" spans="1:8">
      <c r="G132" s="5"/>
      <c r="H132" s="5"/>
    </row>
    <row r="133" customFormat="1" spans="1:8">
      <c r="G133" s="5"/>
      <c r="H133" s="5"/>
    </row>
    <row r="134" customFormat="1" spans="1:8">
      <c r="G134" s="5"/>
      <c r="H134" s="5"/>
    </row>
    <row r="135" customFormat="1" spans="1:8">
      <c r="G135" s="5"/>
      <c r="H135" s="5"/>
    </row>
    <row r="136" customFormat="1" spans="1:8">
      <c r="G136" s="5"/>
      <c r="H136" s="5"/>
    </row>
    <row r="137" customFormat="1" spans="1:8">
      <c r="G137" s="5"/>
      <c r="H137" s="5"/>
    </row>
    <row r="138" customFormat="1" spans="1:8">
      <c r="G138" s="5"/>
      <c r="H138" s="5"/>
    </row>
    <row r="139" customFormat="1" spans="1:8">
      <c r="G139" s="5"/>
      <c r="H139" s="5"/>
    </row>
    <row r="140" customFormat="1" spans="1:8">
      <c r="G140" s="5"/>
      <c r="H140" s="5"/>
    </row>
    <row r="141" customFormat="1" spans="1:8">
      <c r="G141" s="5"/>
      <c r="H141" s="5"/>
    </row>
    <row r="142" customFormat="1" spans="1:8">
      <c r="G142" s="5"/>
      <c r="H142" s="5"/>
    </row>
    <row r="143" customFormat="1" spans="1:8">
      <c r="G143" s="5"/>
      <c r="H143" s="5"/>
    </row>
    <row r="144" customFormat="1" spans="1:8">
      <c r="G144" s="5"/>
      <c r="H144" s="5"/>
    </row>
    <row r="145" customFormat="1" spans="7:8">
      <c r="G145" s="5"/>
      <c r="H145" s="5"/>
    </row>
    <row r="146" customFormat="1" spans="7:8">
      <c r="G146" s="5"/>
      <c r="H146" s="5"/>
    </row>
    <row r="147" customFormat="1" spans="7:8">
      <c r="G147" s="5"/>
      <c r="H147" s="5"/>
    </row>
    <row r="148" customFormat="1" spans="7:8">
      <c r="G148" s="5"/>
      <c r="H148" s="5"/>
    </row>
    <row r="149" customFormat="1" spans="7:8">
      <c r="G149" s="5"/>
      <c r="H149" s="5"/>
    </row>
    <row r="150" customFormat="1" spans="7:8">
      <c r="G150" s="5"/>
      <c r="H150" s="5"/>
    </row>
    <row r="151" customFormat="1" spans="7:8">
      <c r="G151" s="5"/>
      <c r="H151" s="5"/>
    </row>
    <row r="152" customFormat="1" spans="7:8">
      <c r="G152" s="5"/>
      <c r="H152" s="5"/>
    </row>
    <row r="153" customFormat="1" spans="7:8">
      <c r="G153" s="5"/>
      <c r="H153" s="5"/>
    </row>
    <row r="154" customFormat="1" spans="7:8">
      <c r="G154" s="5"/>
      <c r="H154" s="5"/>
    </row>
    <row r="155" customFormat="1" spans="7:8">
      <c r="G155" s="5"/>
      <c r="H155" s="5"/>
    </row>
    <row r="156" customFormat="1" spans="7:8">
      <c r="G156" s="5"/>
      <c r="H156" s="5"/>
    </row>
    <row r="157" customFormat="1" spans="7:8">
      <c r="G157" s="5"/>
      <c r="H157" s="5"/>
    </row>
    <row r="158" customFormat="1" spans="7:8">
      <c r="G158" s="5"/>
      <c r="H158" s="5"/>
    </row>
    <row r="159" customFormat="1" spans="7:8">
      <c r="G159" s="5"/>
      <c r="H159" s="5"/>
    </row>
    <row r="160" customFormat="1" spans="7:8">
      <c r="G160" s="5"/>
      <c r="H160" s="5"/>
    </row>
    <row r="161" customFormat="1" spans="7:8">
      <c r="G161" s="5"/>
      <c r="H161" s="5"/>
    </row>
    <row r="162" customFormat="1" spans="7:8">
      <c r="G162" s="5"/>
      <c r="H162" s="5"/>
    </row>
    <row r="163" customFormat="1" spans="7:8">
      <c r="G163" s="5"/>
      <c r="H163" s="5"/>
    </row>
    <row r="164" customFormat="1" spans="7:8">
      <c r="G164" s="5"/>
      <c r="H164" s="5"/>
    </row>
    <row r="165" customFormat="1" spans="7:8">
      <c r="G165" s="5"/>
      <c r="H165" s="5"/>
    </row>
    <row r="166" customFormat="1" spans="7:8">
      <c r="G166" s="5"/>
      <c r="H166" s="5"/>
    </row>
    <row r="167" customFormat="1" spans="7:8">
      <c r="G167" s="5"/>
      <c r="H167" s="5"/>
    </row>
    <row r="168" customFormat="1" spans="7:8">
      <c r="G168" s="5"/>
      <c r="H168" s="5"/>
    </row>
    <row r="169" customFormat="1" spans="7:8">
      <c r="G169" s="5"/>
      <c r="H169" s="5"/>
    </row>
    <row r="170" customFormat="1" spans="7:8">
      <c r="G170" s="5"/>
      <c r="H170" s="5"/>
    </row>
    <row r="171" customFormat="1" spans="7:8">
      <c r="G171" s="5"/>
      <c r="H171" s="5"/>
    </row>
    <row r="172" customFormat="1" spans="7:8">
      <c r="G172" s="5"/>
      <c r="H172" s="5"/>
    </row>
    <row r="173" customFormat="1" spans="7:8">
      <c r="G173" s="5"/>
      <c r="H173" s="5"/>
    </row>
    <row r="174" customFormat="1" spans="7:8">
      <c r="G174" s="5"/>
      <c r="H174" s="5"/>
    </row>
    <row r="175" customFormat="1" spans="7:8">
      <c r="G175" s="5"/>
      <c r="H175" s="5"/>
    </row>
    <row r="176" customFormat="1" spans="7:8">
      <c r="G176" s="5"/>
      <c r="H176" s="5"/>
    </row>
    <row r="177" customFormat="1" spans="7:8">
      <c r="G177" s="5"/>
      <c r="H177" s="5"/>
    </row>
    <row r="178" customFormat="1" spans="7:8">
      <c r="G178" s="5"/>
      <c r="H178" s="5"/>
    </row>
    <row r="179" customFormat="1" spans="7:8">
      <c r="G179" s="5"/>
      <c r="H179" s="5"/>
    </row>
    <row r="180" customFormat="1" spans="7:8">
      <c r="G180" s="5"/>
      <c r="H180" s="5"/>
    </row>
    <row r="181" customFormat="1" spans="7:8">
      <c r="G181" s="5"/>
      <c r="H181" s="5"/>
    </row>
    <row r="182" customFormat="1" spans="7:8">
      <c r="G182" s="5"/>
      <c r="H182" s="5"/>
    </row>
    <row r="183" customFormat="1" spans="7:8">
      <c r="G183" s="5"/>
      <c r="H183" s="5"/>
    </row>
    <row r="184" customFormat="1" spans="7:8">
      <c r="G184" s="5"/>
      <c r="H184" s="5"/>
    </row>
    <row r="185" customFormat="1" spans="7:8">
      <c r="G185" s="5"/>
      <c r="H185" s="5"/>
    </row>
    <row r="186" customFormat="1" spans="7:8">
      <c r="G186" s="5"/>
      <c r="H186" s="5"/>
    </row>
    <row r="187" customFormat="1" spans="7:8">
      <c r="G187" s="5"/>
      <c r="H187" s="5"/>
    </row>
    <row r="188" customFormat="1" spans="7:8">
      <c r="G188" s="5"/>
      <c r="H188" s="5"/>
    </row>
    <row r="189" customFormat="1" spans="7:8">
      <c r="G189" s="5"/>
      <c r="H189" s="5"/>
    </row>
    <row r="190" customFormat="1" spans="7:8">
      <c r="G190" s="5"/>
      <c r="H190" s="5"/>
    </row>
    <row r="191" customFormat="1" spans="7:8">
      <c r="G191" s="5"/>
      <c r="H191" s="5"/>
    </row>
    <row r="192" customFormat="1" spans="7:8">
      <c r="G192" s="5"/>
      <c r="H192" s="5"/>
    </row>
    <row r="193" customFormat="1" spans="7:8">
      <c r="G193" s="5"/>
      <c r="H193" s="5"/>
    </row>
    <row r="194" customFormat="1" spans="7:8">
      <c r="G194" s="5"/>
      <c r="H194" s="5"/>
    </row>
    <row r="195" customFormat="1" spans="7:8">
      <c r="G195" s="5"/>
      <c r="H195" s="5"/>
    </row>
    <row r="196" customFormat="1" spans="7:8">
      <c r="G196" s="5"/>
      <c r="H196" s="5"/>
    </row>
    <row r="197" customFormat="1" spans="7:8">
      <c r="G197" s="5"/>
      <c r="H197" s="5"/>
    </row>
    <row r="198" customFormat="1" spans="7:8">
      <c r="G198" s="5"/>
      <c r="H198" s="5"/>
    </row>
    <row r="199" customFormat="1" spans="7:8">
      <c r="G199" s="5"/>
      <c r="H199" s="5"/>
    </row>
    <row r="200" customFormat="1" spans="7:8">
      <c r="G200" s="5"/>
      <c r="H200" s="5"/>
    </row>
    <row r="201" customFormat="1" spans="7:8">
      <c r="G201" s="5"/>
      <c r="H201" s="5"/>
    </row>
    <row r="202" customFormat="1" spans="7:8">
      <c r="G202" s="5"/>
      <c r="H202" s="5"/>
    </row>
    <row r="203" customFormat="1" spans="7:8">
      <c r="G203" s="5"/>
      <c r="H203" s="5"/>
    </row>
    <row r="204" customFormat="1" spans="7:8">
      <c r="G204" s="5"/>
      <c r="H204" s="5"/>
    </row>
    <row r="205" customFormat="1" spans="7:8">
      <c r="G205" s="5"/>
      <c r="H205" s="5"/>
    </row>
    <row r="206" customFormat="1" spans="7:8">
      <c r="G206" s="5"/>
      <c r="H206" s="5"/>
    </row>
    <row r="207" customFormat="1" spans="7:8">
      <c r="G207" s="5"/>
      <c r="H207" s="5"/>
    </row>
    <row r="208" customFormat="1" spans="7:8">
      <c r="G208" s="5"/>
      <c r="H208" s="5"/>
    </row>
    <row r="209" customFormat="1" spans="7:8">
      <c r="G209" s="5"/>
      <c r="H209" s="5"/>
    </row>
    <row r="210" customFormat="1" spans="7:8">
      <c r="G210" s="5"/>
      <c r="H210" s="5"/>
    </row>
    <row r="211" customFormat="1" spans="7:8">
      <c r="G211" s="5"/>
      <c r="H211" s="5"/>
    </row>
    <row r="212" customFormat="1" spans="7:8">
      <c r="G212" s="5"/>
      <c r="H212" s="5"/>
    </row>
    <row r="213" customFormat="1" spans="7:8">
      <c r="G213" s="5"/>
      <c r="H213" s="5"/>
    </row>
    <row r="214" customFormat="1" spans="7:8">
      <c r="G214" s="5"/>
      <c r="H214" s="5"/>
    </row>
    <row r="215" customFormat="1" spans="7:8">
      <c r="G215" s="5"/>
      <c r="H215" s="5"/>
    </row>
    <row r="216" customFormat="1" spans="7:8">
      <c r="G216" s="5"/>
      <c r="H216" s="5"/>
    </row>
    <row r="217" customFormat="1" spans="7:8">
      <c r="G217" s="5"/>
      <c r="H217" s="5"/>
    </row>
    <row r="218" customFormat="1" spans="7:8">
      <c r="G218" s="5"/>
      <c r="H218" s="5"/>
    </row>
    <row r="219" customFormat="1" spans="7:8">
      <c r="G219" s="5"/>
      <c r="H219" s="5"/>
    </row>
    <row r="220" customFormat="1" spans="7:8">
      <c r="G220" s="5"/>
      <c r="H220" s="5"/>
    </row>
    <row r="221" customFormat="1" spans="7:8">
      <c r="G221" s="5"/>
      <c r="H221" s="5"/>
    </row>
    <row r="222" customFormat="1" spans="7:8">
      <c r="G222" s="5"/>
      <c r="H222" s="5"/>
    </row>
    <row r="223" customFormat="1" spans="7:8">
      <c r="G223" s="5"/>
      <c r="H223" s="5"/>
    </row>
    <row r="224" customFormat="1" spans="7:8">
      <c r="G224" s="5"/>
      <c r="H224" s="5"/>
    </row>
    <row r="225" customFormat="1" spans="7:8">
      <c r="G225" s="5"/>
      <c r="H225" s="5"/>
    </row>
    <row r="226" customFormat="1" spans="7:8">
      <c r="G226" s="5"/>
      <c r="H226" s="5"/>
    </row>
    <row r="227" customFormat="1" spans="7:8">
      <c r="G227" s="5"/>
      <c r="H227" s="5"/>
    </row>
    <row r="228" customFormat="1" spans="7:8">
      <c r="G228" s="5"/>
      <c r="H228" s="5"/>
    </row>
    <row r="229" customFormat="1" spans="7:8">
      <c r="G229" s="5"/>
      <c r="H229" s="5"/>
    </row>
    <row r="230" customFormat="1" spans="7:8">
      <c r="G230" s="5"/>
      <c r="H230" s="5"/>
    </row>
    <row r="231" customFormat="1" spans="7:8">
      <c r="G231" s="5"/>
      <c r="H231" s="5"/>
    </row>
    <row r="232" customFormat="1" spans="7:8">
      <c r="G232" s="5"/>
      <c r="H232" s="5"/>
    </row>
    <row r="233" customFormat="1" spans="7:8">
      <c r="G233" s="5"/>
      <c r="H233" s="5"/>
    </row>
    <row r="234" customFormat="1" spans="7:8">
      <c r="G234" s="5"/>
      <c r="H234" s="5"/>
    </row>
    <row r="235" customFormat="1" spans="7:8">
      <c r="G235" s="5"/>
      <c r="H235" s="5"/>
    </row>
    <row r="236" customFormat="1" spans="7:8">
      <c r="G236" s="5"/>
      <c r="H236" s="5"/>
    </row>
    <row r="237" customFormat="1" spans="7:8">
      <c r="G237" s="5"/>
      <c r="H237" s="5"/>
    </row>
    <row r="238" customFormat="1" spans="7:8">
      <c r="G238" s="5"/>
      <c r="H238" s="5"/>
    </row>
    <row r="239" customFormat="1" spans="7:8">
      <c r="G239" s="5"/>
      <c r="H239" s="5"/>
    </row>
    <row r="240" customFormat="1" spans="7:8">
      <c r="G240" s="5"/>
      <c r="H240" s="5"/>
    </row>
    <row r="241" customFormat="1" spans="7:8">
      <c r="G241" s="5"/>
      <c r="H241" s="5"/>
    </row>
    <row r="242" customFormat="1" spans="7:8">
      <c r="G242" s="5"/>
      <c r="H242" s="5"/>
    </row>
    <row r="243" customFormat="1" spans="7:8">
      <c r="G243" s="5"/>
      <c r="H243" s="5"/>
    </row>
    <row r="244" customFormat="1" spans="7:8">
      <c r="G244" s="5"/>
      <c r="H244" s="5"/>
    </row>
    <row r="245" customFormat="1" spans="7:8">
      <c r="G245" s="5"/>
      <c r="H245" s="5"/>
    </row>
    <row r="246" customFormat="1" spans="7:8">
      <c r="G246" s="5"/>
      <c r="H246" s="5"/>
    </row>
    <row r="247" customFormat="1" spans="7:8">
      <c r="G247" s="5"/>
      <c r="H247" s="5"/>
    </row>
    <row r="248" customFormat="1" spans="7:8">
      <c r="G248" s="5"/>
      <c r="H248" s="5"/>
    </row>
    <row r="249" customFormat="1" spans="7:8">
      <c r="G249" s="5"/>
      <c r="H249" s="5"/>
    </row>
    <row r="250" customFormat="1" spans="7:8">
      <c r="G250" s="5"/>
      <c r="H250" s="5"/>
    </row>
    <row r="251" customFormat="1" spans="7:8">
      <c r="G251" s="5"/>
      <c r="H251" s="5"/>
    </row>
    <row r="252" customFormat="1" spans="7:8">
      <c r="G252" s="5"/>
      <c r="H252" s="5"/>
    </row>
    <row r="253" customFormat="1" spans="7:8">
      <c r="G253" s="5"/>
      <c r="H253" s="5"/>
    </row>
    <row r="254" customFormat="1" spans="7:8">
      <c r="G254" s="5"/>
      <c r="H254" s="5"/>
    </row>
    <row r="255" customFormat="1" spans="7:8">
      <c r="G255" s="5"/>
      <c r="H255" s="5"/>
    </row>
    <row r="256" customFormat="1" spans="7:8">
      <c r="G256" s="5"/>
      <c r="H256" s="5"/>
    </row>
    <row r="257" customFormat="1" spans="7:8">
      <c r="G257" s="5"/>
      <c r="H257" s="5"/>
    </row>
    <row r="258" customFormat="1" spans="7:8">
      <c r="G258" s="5"/>
      <c r="H258" s="5"/>
    </row>
    <row r="259" customFormat="1" spans="7:8">
      <c r="G259" s="5"/>
      <c r="H259" s="5"/>
    </row>
    <row r="260" customFormat="1" spans="7:8">
      <c r="G260" s="5"/>
      <c r="H260" s="5"/>
    </row>
    <row r="261" customFormat="1" spans="7:8">
      <c r="G261" s="5"/>
      <c r="H261" s="5"/>
    </row>
    <row r="262" customFormat="1" spans="7:8">
      <c r="G262" s="5"/>
      <c r="H262" s="5"/>
    </row>
    <row r="263" customFormat="1" spans="7:8">
      <c r="G263" s="5"/>
      <c r="H263" s="5"/>
    </row>
    <row r="264" customFormat="1" spans="7:8">
      <c r="G264" s="5"/>
      <c r="H264" s="5"/>
    </row>
    <row r="265" customFormat="1" spans="7:8">
      <c r="G265" s="5"/>
      <c r="H265" s="5"/>
    </row>
    <row r="266" customFormat="1" spans="7:8">
      <c r="G266" s="5"/>
      <c r="H266" s="5"/>
    </row>
    <row r="267" customFormat="1" spans="7:8">
      <c r="G267" s="5"/>
      <c r="H267" s="5"/>
    </row>
    <row r="268" customFormat="1" spans="7:8">
      <c r="G268" s="5"/>
      <c r="H268" s="5"/>
    </row>
    <row r="269" customFormat="1" spans="7:8">
      <c r="G269" s="5"/>
      <c r="H269" s="5"/>
    </row>
    <row r="270" customFormat="1" spans="7:8">
      <c r="G270" s="5"/>
      <c r="H270" s="5"/>
    </row>
    <row r="271" customFormat="1" spans="7:8">
      <c r="G271" s="5"/>
      <c r="H271" s="5"/>
    </row>
    <row r="272" customFormat="1" spans="7:8">
      <c r="G272" s="5"/>
      <c r="H272" s="5"/>
    </row>
    <row r="273" customFormat="1" spans="7:8">
      <c r="G273" s="5"/>
      <c r="H273" s="5"/>
    </row>
    <row r="274" customFormat="1" spans="7:8">
      <c r="G274" s="5"/>
      <c r="H274" s="5"/>
    </row>
    <row r="275" customFormat="1" spans="7:8">
      <c r="G275" s="5"/>
      <c r="H275" s="5"/>
    </row>
    <row r="276" customFormat="1" spans="7:8">
      <c r="G276" s="5"/>
      <c r="H276" s="5"/>
    </row>
    <row r="277" customFormat="1" spans="7:8">
      <c r="G277" s="5"/>
      <c r="H277" s="5"/>
    </row>
    <row r="278" customFormat="1" spans="7:8">
      <c r="G278" s="5"/>
      <c r="H278" s="5"/>
    </row>
    <row r="279" customFormat="1" spans="7:8">
      <c r="G279" s="5"/>
      <c r="H279" s="5"/>
    </row>
    <row r="280" customFormat="1" spans="7:8">
      <c r="G280" s="5"/>
      <c r="H280" s="5"/>
    </row>
    <row r="281" customFormat="1" spans="7:8">
      <c r="G281" s="5"/>
      <c r="H281" s="5"/>
    </row>
    <row r="282" customFormat="1" spans="7:8">
      <c r="G282" s="5"/>
      <c r="H282" s="5"/>
    </row>
    <row r="283" customFormat="1" spans="7:8">
      <c r="G283" s="5"/>
      <c r="H283" s="5"/>
    </row>
    <row r="284" customFormat="1" spans="7:8">
      <c r="G284" s="5"/>
      <c r="H284" s="5"/>
    </row>
    <row r="285" customFormat="1" spans="7:8">
      <c r="G285" s="5"/>
      <c r="H285" s="5"/>
    </row>
    <row r="286" customFormat="1" spans="7:8">
      <c r="G286" s="5"/>
      <c r="H286" s="5"/>
    </row>
    <row r="287" customFormat="1" spans="7:8">
      <c r="G287" s="5"/>
      <c r="H287" s="5"/>
    </row>
    <row r="288" customFormat="1" spans="7:8">
      <c r="G288" s="5"/>
      <c r="H288" s="5"/>
    </row>
    <row r="289" customFormat="1" spans="7:8">
      <c r="G289" s="5"/>
      <c r="H289" s="5"/>
    </row>
    <row r="290" customFormat="1" spans="7:8">
      <c r="G290" s="5"/>
      <c r="H290" s="5"/>
    </row>
    <row r="291" customFormat="1" spans="7:8">
      <c r="G291" s="5"/>
      <c r="H291" s="5"/>
    </row>
    <row r="292" customFormat="1" spans="7:8">
      <c r="G292" s="5"/>
      <c r="H292" s="5"/>
    </row>
    <row r="293" customFormat="1" spans="7:8">
      <c r="G293" s="5"/>
      <c r="H293" s="5"/>
    </row>
    <row r="294" customFormat="1" spans="7:8">
      <c r="G294" s="5"/>
      <c r="H294" s="5"/>
    </row>
    <row r="295" customFormat="1" spans="7:8">
      <c r="G295" s="5"/>
      <c r="H295" s="5"/>
    </row>
    <row r="296" customFormat="1" spans="7:8">
      <c r="G296" s="5"/>
      <c r="H296" s="5"/>
    </row>
    <row r="297" customFormat="1" spans="7:8">
      <c r="G297" s="5"/>
      <c r="H297" s="5"/>
    </row>
    <row r="298" customFormat="1" spans="7:8">
      <c r="G298" s="5"/>
      <c r="H298" s="5"/>
    </row>
    <row r="299" customFormat="1" spans="7:8">
      <c r="G299" s="5"/>
      <c r="H299" s="5"/>
    </row>
    <row r="300" customFormat="1" spans="7:8">
      <c r="G300" s="5"/>
      <c r="H300" s="5"/>
    </row>
    <row r="301" customFormat="1" spans="7:8">
      <c r="G301" s="5"/>
      <c r="H301" s="5"/>
    </row>
    <row r="302" customFormat="1" spans="7:8">
      <c r="G302" s="5"/>
      <c r="H302" s="5"/>
    </row>
    <row r="303" customFormat="1" spans="7:8">
      <c r="G303" s="5"/>
      <c r="H303" s="5"/>
    </row>
    <row r="304" customFormat="1" spans="7:8">
      <c r="G304" s="5"/>
      <c r="H304" s="5"/>
    </row>
    <row r="305" customFormat="1" spans="7:8">
      <c r="G305" s="5"/>
      <c r="H305" s="5"/>
    </row>
    <row r="306" customFormat="1" spans="7:8">
      <c r="G306" s="5"/>
      <c r="H306" s="5"/>
    </row>
    <row r="307" customFormat="1" spans="7:8">
      <c r="G307" s="5"/>
      <c r="H307" s="5"/>
    </row>
    <row r="308" customFormat="1" spans="7:8">
      <c r="G308" s="5"/>
      <c r="H308" s="5"/>
    </row>
    <row r="309" customFormat="1" spans="7:8">
      <c r="G309" s="5"/>
      <c r="H309" s="5"/>
    </row>
    <row r="310" customFormat="1" spans="7:8">
      <c r="G310" s="5"/>
      <c r="H310" s="5"/>
    </row>
    <row r="311" customFormat="1" spans="7:8">
      <c r="G311" s="5"/>
      <c r="H311" s="5"/>
    </row>
    <row r="312" customFormat="1" spans="7:8">
      <c r="G312" s="5"/>
      <c r="H312" s="5"/>
    </row>
    <row r="313" customFormat="1" spans="7:8">
      <c r="G313" s="5"/>
      <c r="H313" s="5"/>
    </row>
    <row r="314" customFormat="1" spans="7:8">
      <c r="G314" s="5"/>
      <c r="H314" s="5"/>
    </row>
    <row r="315" customFormat="1" spans="7:8">
      <c r="G315" s="5"/>
      <c r="H315" s="5"/>
    </row>
    <row r="316" customFormat="1" spans="7:8">
      <c r="G316" s="5"/>
      <c r="H316" s="5"/>
    </row>
    <row r="317" customFormat="1" spans="7:8">
      <c r="G317" s="5"/>
      <c r="H317" s="5"/>
    </row>
    <row r="318" customFormat="1" spans="7:8">
      <c r="G318" s="5"/>
      <c r="H318" s="5"/>
    </row>
    <row r="319" customFormat="1" spans="7:8">
      <c r="G319" s="5"/>
      <c r="H319" s="5"/>
    </row>
    <row r="320" customFormat="1" spans="7:8">
      <c r="G320" s="5"/>
      <c r="H320" s="5"/>
    </row>
    <row r="321" customFormat="1" spans="7:8">
      <c r="G321" s="5"/>
      <c r="H321" s="5"/>
    </row>
    <row r="322" customFormat="1" spans="7:8">
      <c r="G322" s="5"/>
      <c r="H322" s="5"/>
    </row>
    <row r="323" customFormat="1" spans="7:8">
      <c r="G323" s="5"/>
      <c r="H323" s="5"/>
    </row>
    <row r="324" customFormat="1" spans="7:8">
      <c r="G324" s="5"/>
      <c r="H324" s="5"/>
    </row>
    <row r="325" customFormat="1" spans="7:8">
      <c r="G325" s="5"/>
      <c r="H325" s="5"/>
    </row>
    <row r="326" customFormat="1" spans="7:8">
      <c r="G326" s="5"/>
      <c r="H326" s="5"/>
    </row>
    <row r="327" customFormat="1" spans="7:8">
      <c r="G327" s="5"/>
      <c r="H327" s="5"/>
    </row>
    <row r="328" customFormat="1" spans="7:8">
      <c r="G328" s="5"/>
      <c r="H328" s="5"/>
    </row>
    <row r="329" customFormat="1" spans="7:8">
      <c r="G329" s="5"/>
      <c r="H329" s="5"/>
    </row>
    <row r="330" customFormat="1" spans="7:8">
      <c r="G330" s="5"/>
      <c r="H330" s="5"/>
    </row>
    <row r="331" customFormat="1" spans="7:8">
      <c r="G331" s="5"/>
      <c r="H331" s="5"/>
    </row>
    <row r="332" customFormat="1" spans="7:8">
      <c r="G332" s="5"/>
      <c r="H332" s="5"/>
    </row>
    <row r="333" customFormat="1" spans="7:8">
      <c r="G333" s="5"/>
      <c r="H333" s="5"/>
    </row>
    <row r="334" customFormat="1" spans="7:8">
      <c r="G334" s="5"/>
      <c r="H334" s="5"/>
    </row>
    <row r="335" customFormat="1" spans="7:8">
      <c r="G335" s="5"/>
      <c r="H335" s="5"/>
    </row>
    <row r="336" customFormat="1" spans="7:8">
      <c r="G336" s="5"/>
      <c r="H336" s="5"/>
    </row>
    <row r="337" customFormat="1" spans="7:8">
      <c r="G337" s="5"/>
      <c r="H337" s="5"/>
    </row>
    <row r="338" customFormat="1" spans="7:8">
      <c r="G338" s="5"/>
      <c r="H338" s="5"/>
    </row>
    <row r="339" customFormat="1" spans="7:8">
      <c r="G339" s="5"/>
      <c r="H339" s="5"/>
    </row>
    <row r="340" customFormat="1" spans="7:8">
      <c r="G340" s="5"/>
      <c r="H340" s="5"/>
    </row>
    <row r="341" customFormat="1" spans="7:8">
      <c r="G341" s="5"/>
      <c r="H341" s="5"/>
    </row>
    <row r="342" customFormat="1" spans="7:8">
      <c r="G342" s="5"/>
      <c r="H342" s="5"/>
    </row>
    <row r="343" customFormat="1" spans="7:8">
      <c r="G343" s="5"/>
      <c r="H343" s="5"/>
    </row>
    <row r="344" customFormat="1" spans="7:8">
      <c r="G344" s="5"/>
      <c r="H344" s="5"/>
    </row>
    <row r="345" customFormat="1" spans="7:8">
      <c r="G345" s="5"/>
      <c r="H345" s="5"/>
    </row>
    <row r="346" customFormat="1" spans="7:8">
      <c r="G346" s="5"/>
      <c r="H346" s="5"/>
    </row>
    <row r="347" customFormat="1" spans="7:8">
      <c r="G347" s="5"/>
      <c r="H347" s="5"/>
    </row>
    <row r="348" customFormat="1" spans="7:8">
      <c r="G348" s="5"/>
      <c r="H348" s="5"/>
    </row>
    <row r="349" customFormat="1" spans="7:8">
      <c r="G349" s="5"/>
      <c r="H349" s="5"/>
    </row>
    <row r="350" customFormat="1" spans="7:8">
      <c r="G350" s="5"/>
      <c r="H350" s="5"/>
    </row>
    <row r="351" customFormat="1" spans="7:8">
      <c r="G351" s="5"/>
      <c r="H351" s="5"/>
    </row>
    <row r="352" customFormat="1" spans="7:8">
      <c r="G352" s="5"/>
      <c r="H352" s="5"/>
    </row>
    <row r="353" customFormat="1" spans="7:8">
      <c r="G353" s="5"/>
      <c r="H353" s="5"/>
    </row>
    <row r="354" customFormat="1" spans="7:8">
      <c r="G354" s="5"/>
      <c r="H354" s="5"/>
    </row>
    <row r="355" customFormat="1" spans="7:8">
      <c r="G355" s="5"/>
      <c r="H355" s="5"/>
    </row>
    <row r="356" customFormat="1" spans="7:8">
      <c r="G356" s="5"/>
      <c r="H356" s="5"/>
    </row>
    <row r="357" customFormat="1" spans="7:8">
      <c r="G357" s="5"/>
      <c r="H357" s="5"/>
    </row>
    <row r="358" customFormat="1" spans="7:8">
      <c r="G358" s="5"/>
      <c r="H358" s="5"/>
    </row>
    <row r="359" customFormat="1" spans="7:8">
      <c r="G359" s="5"/>
      <c r="H359" s="5"/>
    </row>
    <row r="360" customFormat="1" spans="7:8">
      <c r="G360" s="5"/>
      <c r="H360" s="5"/>
    </row>
    <row r="361" customFormat="1" spans="7:8">
      <c r="G361" s="5"/>
      <c r="H361" s="5"/>
    </row>
    <row r="362" customFormat="1" spans="7:8">
      <c r="G362" s="5"/>
      <c r="H362" s="5"/>
    </row>
    <row r="363" customFormat="1" spans="7:8">
      <c r="G363" s="5"/>
      <c r="H363" s="5"/>
    </row>
    <row r="364" customFormat="1" spans="7:8">
      <c r="G364" s="5"/>
      <c r="H364" s="5"/>
    </row>
    <row r="365" customFormat="1" spans="7:8">
      <c r="G365" s="5"/>
      <c r="H365" s="5"/>
    </row>
    <row r="366" customFormat="1" spans="7:8">
      <c r="G366" s="5"/>
      <c r="H366" s="5"/>
    </row>
    <row r="367" customFormat="1" spans="7:8">
      <c r="G367" s="5"/>
      <c r="H367" s="5"/>
    </row>
    <row r="368" customFormat="1" spans="7:8">
      <c r="G368" s="5"/>
      <c r="H368" s="5"/>
    </row>
    <row r="369" customFormat="1" spans="7:8">
      <c r="G369" s="5"/>
      <c r="H369" s="5"/>
    </row>
    <row r="370" customFormat="1" spans="7:8">
      <c r="G370" s="5"/>
      <c r="H370" s="5"/>
    </row>
    <row r="371" customFormat="1" spans="7:8">
      <c r="G371" s="5"/>
      <c r="H371" s="5"/>
    </row>
    <row r="372" customFormat="1" spans="7:8">
      <c r="G372" s="5"/>
      <c r="H372" s="5"/>
    </row>
    <row r="373" customFormat="1" spans="7:8">
      <c r="G373" s="5"/>
      <c r="H373" s="5"/>
    </row>
    <row r="374" customFormat="1" spans="7:8">
      <c r="G374" s="5"/>
      <c r="H374" s="5"/>
    </row>
    <row r="375" customFormat="1" spans="7:8">
      <c r="G375" s="5"/>
      <c r="H375" s="5"/>
    </row>
    <row r="376" customFormat="1" spans="7:8">
      <c r="G376" s="5"/>
      <c r="H376" s="5"/>
    </row>
    <row r="377" customFormat="1" spans="7:8">
      <c r="G377" s="5"/>
      <c r="H377" s="5"/>
    </row>
    <row r="378" customFormat="1" spans="7:8">
      <c r="G378" s="5"/>
      <c r="H378" s="5"/>
    </row>
    <row r="379" customFormat="1" spans="7:8">
      <c r="G379" s="5"/>
      <c r="H379" s="5"/>
    </row>
    <row r="380" customFormat="1" spans="7:8">
      <c r="G380" s="5"/>
      <c r="H380" s="5"/>
    </row>
    <row r="381" customFormat="1" spans="7:8">
      <c r="G381" s="5"/>
      <c r="H381" s="5"/>
    </row>
    <row r="382" customFormat="1" spans="7:8">
      <c r="G382" s="5"/>
      <c r="H382" s="5"/>
    </row>
    <row r="383" customFormat="1" spans="7:8">
      <c r="G383" s="5"/>
      <c r="H383" s="5"/>
    </row>
    <row r="384" customFormat="1" spans="7:8">
      <c r="G384" s="5"/>
      <c r="H384" s="5"/>
    </row>
    <row r="385" customFormat="1" spans="7:8">
      <c r="G385" s="5"/>
      <c r="H385" s="5"/>
    </row>
    <row r="386" customFormat="1" spans="7:8">
      <c r="G386" s="5"/>
      <c r="H386" s="5"/>
    </row>
    <row r="387" customFormat="1" spans="7:8">
      <c r="G387" s="5"/>
      <c r="H387" s="5"/>
    </row>
    <row r="388" customFormat="1" spans="7:8">
      <c r="G388" s="5"/>
      <c r="H388" s="5"/>
    </row>
    <row r="389" customFormat="1" spans="7:8">
      <c r="G389" s="5"/>
      <c r="H389" s="5"/>
    </row>
    <row r="390" customFormat="1" spans="7:8">
      <c r="G390" s="5"/>
      <c r="H390" s="5"/>
    </row>
    <row r="391" customFormat="1" spans="7:8">
      <c r="G391" s="5"/>
      <c r="H391" s="5"/>
    </row>
    <row r="392" customFormat="1" spans="7:8">
      <c r="G392" s="5"/>
      <c r="H392" s="5"/>
    </row>
    <row r="393" customFormat="1" spans="7:8">
      <c r="G393" s="5"/>
      <c r="H393" s="5"/>
    </row>
    <row r="394" customFormat="1" spans="7:8">
      <c r="G394" s="5"/>
      <c r="H394" s="5"/>
    </row>
    <row r="395" customFormat="1" spans="7:8">
      <c r="G395" s="5"/>
      <c r="H395" s="5"/>
    </row>
    <row r="396" customFormat="1" spans="7:8">
      <c r="G396" s="5"/>
      <c r="H396" s="5"/>
    </row>
    <row r="397" customFormat="1" spans="7:8">
      <c r="G397" s="5"/>
      <c r="H397" s="5"/>
    </row>
    <row r="398" customFormat="1" spans="7:8">
      <c r="G398" s="5"/>
      <c r="H398" s="5"/>
    </row>
    <row r="399" customFormat="1" spans="7:8">
      <c r="G399" s="5"/>
      <c r="H399" s="5"/>
    </row>
    <row r="400" customFormat="1" spans="7:8">
      <c r="G400" s="5"/>
      <c r="H400" s="5"/>
    </row>
    <row r="401" customFormat="1" spans="7:8">
      <c r="G401" s="5"/>
      <c r="H401" s="5"/>
    </row>
    <row r="402" customFormat="1" spans="7:8">
      <c r="G402" s="5"/>
      <c r="H402" s="5"/>
    </row>
    <row r="403" customFormat="1" spans="7:8">
      <c r="G403" s="5"/>
      <c r="H403" s="5"/>
    </row>
    <row r="404" customFormat="1" spans="7:8">
      <c r="G404" s="5"/>
      <c r="H404" s="5"/>
    </row>
    <row r="405" customFormat="1" spans="7:8">
      <c r="G405" s="5"/>
      <c r="H405" s="5"/>
    </row>
    <row r="406" customFormat="1" spans="7:8">
      <c r="G406" s="5"/>
      <c r="H406" s="5"/>
    </row>
    <row r="407" customFormat="1" spans="7:8">
      <c r="G407" s="5"/>
      <c r="H407" s="5"/>
    </row>
    <row r="408" customFormat="1" spans="7:8">
      <c r="G408" s="5"/>
      <c r="H408" s="5"/>
    </row>
    <row r="409" customFormat="1" spans="7:8">
      <c r="G409" s="5"/>
      <c r="H409" s="5"/>
    </row>
    <row r="410" customFormat="1" spans="7:8">
      <c r="G410" s="5"/>
      <c r="H410" s="5"/>
    </row>
    <row r="411" customFormat="1" spans="7:8">
      <c r="G411" s="5"/>
      <c r="H411" s="5"/>
    </row>
    <row r="412" customFormat="1" spans="7:8">
      <c r="G412" s="5"/>
      <c r="H412" s="5"/>
    </row>
    <row r="413" customFormat="1" spans="7:8">
      <c r="G413" s="5"/>
      <c r="H413" s="5"/>
    </row>
    <row r="414" customFormat="1" spans="7:8">
      <c r="G414" s="5"/>
      <c r="H414" s="5"/>
    </row>
    <row r="415" customFormat="1" spans="7:8">
      <c r="G415" s="5"/>
      <c r="H415" s="5"/>
    </row>
    <row r="416" customFormat="1" spans="7:8">
      <c r="G416" s="5"/>
      <c r="H416" s="5"/>
    </row>
    <row r="417" customFormat="1" spans="7:8">
      <c r="G417" s="5"/>
      <c r="H417" s="5"/>
    </row>
    <row r="418" customFormat="1" spans="7:8">
      <c r="G418" s="5"/>
      <c r="H418" s="5"/>
    </row>
    <row r="419" customFormat="1" spans="7:8">
      <c r="G419" s="5"/>
      <c r="H419" s="5"/>
    </row>
    <row r="420" customFormat="1" spans="7:8">
      <c r="G420" s="5"/>
      <c r="H420" s="5"/>
    </row>
    <row r="421" customFormat="1" spans="7:8">
      <c r="G421" s="5"/>
      <c r="H421" s="5"/>
    </row>
    <row r="422" customFormat="1" spans="7:8">
      <c r="G422" s="5"/>
      <c r="H422" s="5"/>
    </row>
    <row r="423" customFormat="1" spans="7:8">
      <c r="G423" s="5"/>
      <c r="H423" s="5"/>
    </row>
    <row r="424" customFormat="1" spans="7:8">
      <c r="G424" s="5"/>
      <c r="H424" s="5"/>
    </row>
    <row r="425" customFormat="1" spans="7:8">
      <c r="G425" s="5"/>
      <c r="H425" s="5"/>
    </row>
    <row r="426" customFormat="1" spans="7:8">
      <c r="G426" s="5"/>
      <c r="H426" s="5"/>
    </row>
    <row r="427" customFormat="1" spans="7:8">
      <c r="G427" s="5"/>
      <c r="H427" s="5"/>
    </row>
    <row r="428" customFormat="1" spans="7:8">
      <c r="G428" s="5"/>
      <c r="H428" s="5"/>
    </row>
    <row r="429" customFormat="1" spans="7:8">
      <c r="G429" s="5"/>
      <c r="H429" s="5"/>
    </row>
    <row r="430" customFormat="1" spans="7:8">
      <c r="G430" s="5"/>
      <c r="H430" s="5"/>
    </row>
    <row r="431" customFormat="1" spans="7:8">
      <c r="G431" s="5"/>
      <c r="H431" s="5"/>
    </row>
    <row r="432" customFormat="1" spans="7:8">
      <c r="G432" s="5"/>
      <c r="H432" s="5"/>
    </row>
    <row r="433" customFormat="1" spans="7:8">
      <c r="G433" s="5"/>
      <c r="H433" s="5"/>
    </row>
    <row r="434" customFormat="1" spans="7:8">
      <c r="G434" s="5"/>
      <c r="H434" s="5"/>
    </row>
    <row r="435" customFormat="1" spans="7:8">
      <c r="G435" s="5"/>
      <c r="H435" s="5"/>
    </row>
    <row r="436" customFormat="1" spans="7:8">
      <c r="G436" s="5"/>
      <c r="H436" s="5"/>
    </row>
    <row r="437" customFormat="1" spans="7:8">
      <c r="G437" s="5"/>
      <c r="H437" s="5"/>
    </row>
    <row r="438" customFormat="1" spans="7:8">
      <c r="G438" s="5"/>
      <c r="H438" s="5"/>
    </row>
    <row r="439" customFormat="1" spans="7:8">
      <c r="G439" s="5"/>
      <c r="H439" s="5"/>
    </row>
    <row r="440" customFormat="1" spans="7:8">
      <c r="G440" s="5"/>
      <c r="H440" s="5"/>
    </row>
    <row r="441" customFormat="1" spans="7:8">
      <c r="G441" s="5"/>
      <c r="H441" s="5"/>
    </row>
    <row r="442" customFormat="1" spans="7:8">
      <c r="G442" s="5"/>
      <c r="H442" s="5"/>
    </row>
    <row r="443" customFormat="1" spans="7:8">
      <c r="G443" s="5"/>
      <c r="H443" s="5"/>
    </row>
    <row r="444" customFormat="1" spans="7:8">
      <c r="G444" s="5"/>
      <c r="H444" s="5"/>
    </row>
    <row r="445" customFormat="1" spans="7:8">
      <c r="G445" s="5"/>
      <c r="H445" s="5"/>
    </row>
    <row r="446" customFormat="1" spans="7:8">
      <c r="G446" s="5"/>
      <c r="H446" s="5"/>
    </row>
    <row r="447" customFormat="1" spans="7:8">
      <c r="G447" s="5"/>
      <c r="H447" s="5"/>
    </row>
    <row r="448" customFormat="1" spans="7:8">
      <c r="G448" s="5"/>
      <c r="H448" s="5"/>
    </row>
    <row r="449" customFormat="1" spans="7:8">
      <c r="G449" s="5"/>
      <c r="H449" s="5"/>
    </row>
    <row r="450" customFormat="1" spans="7:8">
      <c r="G450" s="5"/>
      <c r="H450" s="5"/>
    </row>
    <row r="451" customFormat="1" spans="7:8">
      <c r="G451" s="5"/>
      <c r="H451" s="5"/>
    </row>
    <row r="452" customFormat="1" spans="7:8">
      <c r="G452" s="5"/>
      <c r="H452" s="5"/>
    </row>
    <row r="453" customFormat="1" spans="7:8">
      <c r="G453" s="5"/>
      <c r="H453" s="5"/>
    </row>
    <row r="454" customFormat="1" spans="7:8">
      <c r="G454" s="5"/>
      <c r="H454" s="5"/>
    </row>
    <row r="455" customFormat="1" spans="7:8">
      <c r="G455" s="5"/>
      <c r="H455" s="5"/>
    </row>
    <row r="456" customFormat="1" spans="7:8">
      <c r="G456" s="5"/>
      <c r="H456" s="5"/>
    </row>
    <row r="457" customFormat="1" spans="7:8">
      <c r="G457" s="5"/>
      <c r="H457" s="5"/>
    </row>
    <row r="458" customFormat="1" spans="7:8">
      <c r="G458" s="5"/>
      <c r="H458" s="5"/>
    </row>
    <row r="459" customFormat="1" spans="7:8">
      <c r="G459" s="5"/>
      <c r="H459" s="5"/>
    </row>
    <row r="460" customFormat="1" spans="7:8">
      <c r="G460" s="5"/>
      <c r="H460" s="5"/>
    </row>
    <row r="461" customFormat="1" spans="7:8">
      <c r="G461" s="5"/>
      <c r="H461" s="5"/>
    </row>
    <row r="462" customFormat="1" spans="7:8">
      <c r="G462" s="5"/>
      <c r="H462" s="5"/>
    </row>
    <row r="463" customFormat="1" spans="7:8">
      <c r="G463" s="5"/>
      <c r="H463" s="5"/>
    </row>
    <row r="464" customFormat="1" spans="7:8">
      <c r="G464" s="5"/>
      <c r="H464" s="5"/>
    </row>
    <row r="465" customFormat="1" spans="7:8">
      <c r="G465" s="5"/>
      <c r="H465" s="5"/>
    </row>
    <row r="466" customFormat="1" spans="7:8">
      <c r="G466" s="5"/>
      <c r="H466" s="5"/>
    </row>
    <row r="467" customFormat="1" spans="7:8">
      <c r="G467" s="5"/>
      <c r="H467" s="5"/>
    </row>
    <row r="468" customFormat="1" spans="7:8">
      <c r="G468" s="5"/>
      <c r="H468" s="5"/>
    </row>
    <row r="469" customFormat="1" spans="7:8">
      <c r="G469" s="5"/>
      <c r="H469" s="5"/>
    </row>
    <row r="470" customFormat="1" spans="7:8">
      <c r="G470" s="5"/>
      <c r="H470" s="5"/>
    </row>
    <row r="471" customFormat="1" spans="7:8">
      <c r="G471" s="5"/>
      <c r="H471" s="5"/>
    </row>
    <row r="472" customFormat="1" spans="7:8">
      <c r="G472" s="5"/>
      <c r="H472" s="5"/>
    </row>
    <row r="473" customFormat="1" spans="7:8">
      <c r="G473" s="5"/>
      <c r="H473" s="5"/>
    </row>
    <row r="474" customFormat="1" spans="7:8">
      <c r="G474" s="5"/>
      <c r="H474" s="5"/>
    </row>
    <row r="475" customFormat="1" spans="7:8">
      <c r="G475" s="5"/>
      <c r="H475" s="5"/>
    </row>
    <row r="476" customFormat="1" spans="7:8">
      <c r="G476" s="5"/>
      <c r="H476" s="5"/>
    </row>
    <row r="477" customFormat="1" spans="7:8">
      <c r="G477" s="5"/>
      <c r="H477" s="5"/>
    </row>
    <row r="478" customFormat="1" spans="7:8">
      <c r="G478" s="5"/>
      <c r="H478" s="5"/>
    </row>
    <row r="479" customFormat="1" spans="7:8">
      <c r="G479" s="5"/>
      <c r="H479" s="5"/>
    </row>
    <row r="480" customFormat="1" spans="7:8">
      <c r="G480" s="5"/>
      <c r="H480" s="5"/>
    </row>
    <row r="481" customFormat="1" spans="7:8">
      <c r="G481" s="5"/>
      <c r="H481" s="5"/>
    </row>
    <row r="482" customFormat="1" spans="7:8">
      <c r="G482" s="5"/>
      <c r="H482" s="5"/>
    </row>
    <row r="483" customFormat="1" spans="7:8">
      <c r="G483" s="5"/>
      <c r="H483" s="5"/>
    </row>
    <row r="484" customFormat="1" spans="7:8">
      <c r="G484" s="5"/>
      <c r="H484" s="5"/>
    </row>
    <row r="485" customFormat="1" spans="7:8">
      <c r="G485" s="5"/>
      <c r="H485" s="5"/>
    </row>
    <row r="486" customFormat="1" spans="7:8">
      <c r="G486" s="5"/>
      <c r="H486" s="5"/>
    </row>
    <row r="487" customFormat="1" spans="7:8">
      <c r="G487" s="5"/>
      <c r="H487" s="5"/>
    </row>
    <row r="488" customFormat="1" spans="7:8">
      <c r="G488" s="5"/>
      <c r="H488" s="5"/>
    </row>
    <row r="489" customFormat="1" spans="7:8">
      <c r="G489" s="5"/>
      <c r="H489" s="5"/>
    </row>
    <row r="490" customFormat="1" spans="7:8">
      <c r="G490" s="5"/>
      <c r="H490" s="5"/>
    </row>
    <row r="491" customFormat="1" spans="7:8">
      <c r="G491" s="5"/>
      <c r="H491" s="5"/>
    </row>
    <row r="492" customFormat="1" spans="7:8">
      <c r="G492" s="5"/>
      <c r="H492" s="5"/>
    </row>
    <row r="493" customFormat="1" spans="7:8">
      <c r="G493" s="5"/>
      <c r="H493" s="5"/>
    </row>
    <row r="494" customFormat="1" spans="7:8">
      <c r="G494" s="5"/>
      <c r="H494" s="5"/>
    </row>
    <row r="495" customFormat="1" spans="7:8">
      <c r="G495" s="5"/>
      <c r="H495" s="5"/>
    </row>
    <row r="496" customFormat="1" spans="7:8">
      <c r="G496" s="5"/>
      <c r="H496" s="5"/>
    </row>
    <row r="497" customFormat="1" spans="7:8">
      <c r="G497" s="5"/>
      <c r="H497" s="5"/>
    </row>
    <row r="498" customFormat="1" spans="7:8">
      <c r="G498" s="5"/>
      <c r="H498" s="5"/>
    </row>
    <row r="499" customFormat="1" spans="7:8">
      <c r="G499" s="5"/>
      <c r="H499" s="5"/>
    </row>
    <row r="500" customFormat="1" spans="7:8">
      <c r="G500" s="5"/>
      <c r="H500" s="5"/>
    </row>
    <row r="501" customFormat="1" spans="7:8">
      <c r="G501" s="5"/>
      <c r="H501" s="5"/>
    </row>
    <row r="502" customFormat="1" spans="7:8">
      <c r="G502" s="5"/>
      <c r="H502" s="5"/>
    </row>
    <row r="503" customFormat="1" spans="7:8">
      <c r="G503" s="5"/>
      <c r="H503" s="5"/>
    </row>
    <row r="504" customFormat="1" spans="7:8">
      <c r="G504" s="5"/>
      <c r="H504" s="5"/>
    </row>
    <row r="505" customFormat="1" spans="7:8">
      <c r="G505" s="5"/>
      <c r="H505" s="5"/>
    </row>
    <row r="506" customFormat="1" spans="7:8">
      <c r="G506" s="5"/>
      <c r="H506" s="5"/>
    </row>
    <row r="507" customFormat="1" spans="7:8">
      <c r="G507" s="5"/>
      <c r="H507" s="5"/>
    </row>
    <row r="508" customFormat="1" spans="7:8">
      <c r="G508" s="5"/>
      <c r="H508" s="5"/>
    </row>
    <row r="509" customFormat="1" spans="7:8">
      <c r="G509" s="5"/>
      <c r="H509" s="5"/>
    </row>
    <row r="510" customFormat="1" spans="7:8">
      <c r="G510" s="5"/>
      <c r="H510" s="5"/>
    </row>
    <row r="511" customFormat="1" spans="7:8">
      <c r="G511" s="5"/>
      <c r="H511" s="5"/>
    </row>
    <row r="512" customFormat="1" spans="7:8">
      <c r="G512" s="5"/>
      <c r="H512" s="5"/>
    </row>
    <row r="513" customFormat="1" spans="7:8">
      <c r="G513" s="5"/>
      <c r="H513" s="5"/>
    </row>
    <row r="514" customFormat="1" spans="7:8">
      <c r="G514" s="5"/>
      <c r="H514" s="5"/>
    </row>
    <row r="515" customFormat="1" spans="7:8">
      <c r="G515" s="5"/>
      <c r="H515" s="5"/>
    </row>
    <row r="516" customFormat="1" spans="7:8">
      <c r="G516" s="5"/>
      <c r="H516" s="5"/>
    </row>
    <row r="517" customFormat="1" spans="7:8">
      <c r="G517" s="5"/>
      <c r="H517" s="5"/>
    </row>
    <row r="518" customFormat="1" spans="7:8">
      <c r="G518" s="5"/>
      <c r="H518" s="5"/>
    </row>
    <row r="519" customFormat="1" spans="7:8">
      <c r="G519" s="5"/>
      <c r="H519" s="5"/>
    </row>
    <row r="520" customFormat="1" spans="7:8">
      <c r="G520" s="5"/>
      <c r="H520" s="5"/>
    </row>
    <row r="521" customFormat="1" spans="7:8">
      <c r="G521" s="5"/>
      <c r="H521" s="5"/>
    </row>
    <row r="522" customFormat="1" spans="7:8">
      <c r="G522" s="5"/>
      <c r="H522" s="5"/>
    </row>
    <row r="523" customFormat="1" spans="7:8">
      <c r="G523" s="5"/>
      <c r="H523" s="5"/>
    </row>
    <row r="524" customFormat="1" spans="7:8">
      <c r="G524" s="5"/>
      <c r="H524" s="5"/>
    </row>
    <row r="525" customFormat="1" spans="7:8">
      <c r="G525" s="5"/>
      <c r="H525" s="5"/>
    </row>
    <row r="526" customFormat="1" spans="7:8">
      <c r="G526" s="5"/>
      <c r="H526" s="5"/>
    </row>
    <row r="527" customFormat="1" spans="7:8">
      <c r="G527" s="5"/>
      <c r="H527" s="5"/>
    </row>
    <row r="528" customFormat="1" spans="7:8">
      <c r="G528" s="5"/>
      <c r="H528" s="5"/>
    </row>
    <row r="529" customFormat="1" spans="7:8">
      <c r="G529" s="5"/>
      <c r="H529" s="5"/>
    </row>
    <row r="530" customFormat="1" spans="7:8">
      <c r="G530" s="5"/>
      <c r="H530" s="5"/>
    </row>
    <row r="531" customFormat="1" spans="7:8">
      <c r="G531" s="5"/>
      <c r="H531" s="5"/>
    </row>
    <row r="532" customFormat="1" spans="7:8">
      <c r="G532" s="5"/>
      <c r="H532" s="5"/>
    </row>
    <row r="533" customFormat="1" spans="7:8">
      <c r="G533" s="5"/>
      <c r="H533" s="5"/>
    </row>
    <row r="534" customFormat="1" spans="7:8">
      <c r="G534" s="5"/>
      <c r="H534" s="5"/>
    </row>
    <row r="535" customFormat="1" spans="7:8">
      <c r="G535" s="5"/>
      <c r="H535" s="5"/>
    </row>
    <row r="536" customFormat="1" spans="7:8">
      <c r="G536" s="5"/>
      <c r="H536" s="5"/>
    </row>
    <row r="537" customFormat="1" spans="7:8">
      <c r="G537" s="5"/>
      <c r="H537" s="5"/>
    </row>
    <row r="538" customFormat="1" spans="7:8">
      <c r="G538" s="5"/>
      <c r="H538" s="5"/>
    </row>
    <row r="539" customFormat="1" spans="7:8">
      <c r="G539" s="5"/>
      <c r="H539" s="5"/>
    </row>
    <row r="540" customFormat="1" spans="7:8">
      <c r="G540" s="5"/>
      <c r="H540" s="5"/>
    </row>
    <row r="541" customFormat="1" spans="7:8">
      <c r="G541" s="5"/>
      <c r="H541" s="5"/>
    </row>
    <row r="542" customFormat="1" spans="7:8">
      <c r="G542" s="5"/>
      <c r="H542" s="5"/>
    </row>
    <row r="543" customFormat="1" spans="7:8">
      <c r="G543" s="5"/>
      <c r="H543" s="5"/>
    </row>
    <row r="544" customFormat="1" spans="7:8">
      <c r="G544" s="5"/>
      <c r="H544" s="5"/>
    </row>
    <row r="545" customFormat="1" spans="7:8">
      <c r="G545" s="5"/>
      <c r="H545" s="5"/>
    </row>
    <row r="546" customFormat="1" spans="7:8">
      <c r="G546" s="5"/>
      <c r="H546" s="5"/>
    </row>
    <row r="547" customFormat="1" spans="7:8">
      <c r="G547" s="5"/>
      <c r="H547" s="5"/>
    </row>
    <row r="548" customFormat="1" spans="7:8">
      <c r="G548" s="5"/>
      <c r="H548" s="5"/>
    </row>
    <row r="549" customFormat="1" spans="7:8">
      <c r="G549" s="5"/>
      <c r="H549" s="5"/>
    </row>
    <row r="550" customFormat="1" spans="7:8">
      <c r="G550" s="5"/>
      <c r="H550" s="5"/>
    </row>
    <row r="551" customFormat="1" spans="7:8">
      <c r="G551" s="5"/>
      <c r="H551" s="5"/>
    </row>
    <row r="552" customFormat="1" spans="7:8">
      <c r="G552" s="5"/>
      <c r="H552" s="5"/>
    </row>
    <row r="553" customFormat="1" spans="7:8">
      <c r="G553" s="5"/>
      <c r="H553" s="5"/>
    </row>
    <row r="554" customFormat="1" spans="7:8">
      <c r="G554" s="5"/>
      <c r="H554" s="5"/>
    </row>
    <row r="555" customFormat="1" spans="7:8">
      <c r="G555" s="5"/>
      <c r="H555" s="5"/>
    </row>
    <row r="556" customFormat="1" spans="7:8">
      <c r="G556" s="5"/>
      <c r="H556" s="5"/>
    </row>
    <row r="557" customFormat="1" spans="7:8">
      <c r="G557" s="5"/>
      <c r="H557" s="5"/>
    </row>
    <row r="558" customFormat="1" spans="7:8">
      <c r="G558" s="5"/>
      <c r="H558" s="5"/>
    </row>
    <row r="559" customFormat="1" spans="7:8">
      <c r="G559" s="5"/>
      <c r="H559" s="5"/>
    </row>
    <row r="560" customFormat="1" spans="7:8">
      <c r="G560" s="5"/>
      <c r="H560" s="5"/>
    </row>
    <row r="561" customFormat="1" spans="7:8">
      <c r="G561" s="5"/>
      <c r="H561" s="5"/>
    </row>
    <row r="562" customFormat="1" spans="7:8">
      <c r="G562" s="5"/>
      <c r="H562" s="5"/>
    </row>
    <row r="563" customFormat="1" spans="7:8">
      <c r="G563" s="5"/>
      <c r="H563" s="5"/>
    </row>
    <row r="564" customFormat="1" spans="7:8">
      <c r="G564" s="5"/>
      <c r="H564" s="5"/>
    </row>
    <row r="565" customFormat="1" spans="7:8">
      <c r="G565" s="5"/>
      <c r="H565" s="5"/>
    </row>
    <row r="566" customFormat="1" spans="7:8">
      <c r="G566" s="5"/>
      <c r="H566" s="5"/>
    </row>
    <row r="567" customFormat="1" spans="7:8">
      <c r="G567" s="5"/>
      <c r="H567" s="5"/>
    </row>
    <row r="568" customFormat="1" spans="7:8">
      <c r="G568" s="5"/>
      <c r="H568" s="5"/>
    </row>
    <row r="569" customFormat="1" spans="7:8">
      <c r="G569" s="5"/>
      <c r="H569" s="5"/>
    </row>
    <row r="570" customFormat="1" spans="7:8">
      <c r="G570" s="5"/>
      <c r="H570" s="5"/>
    </row>
    <row r="571" customFormat="1" spans="7:8">
      <c r="G571" s="5"/>
      <c r="H571" s="5"/>
    </row>
    <row r="572" customFormat="1" spans="7:8">
      <c r="G572" s="5"/>
      <c r="H572" s="5"/>
    </row>
    <row r="573" customFormat="1" spans="7:8">
      <c r="G573" s="5"/>
      <c r="H573" s="5"/>
    </row>
    <row r="574" customFormat="1" spans="7:8">
      <c r="G574" s="5"/>
      <c r="H574" s="5"/>
    </row>
    <row r="575" customFormat="1" spans="7:8">
      <c r="G575" s="5"/>
      <c r="H575" s="5"/>
    </row>
    <row r="576" customFormat="1" spans="7:8">
      <c r="G576" s="5"/>
      <c r="H576" s="5"/>
    </row>
    <row r="577" customFormat="1" spans="7:8">
      <c r="G577" s="5"/>
      <c r="H577" s="5"/>
    </row>
    <row r="578" customFormat="1" spans="7:8">
      <c r="G578" s="5"/>
      <c r="H578" s="5"/>
    </row>
    <row r="579" customFormat="1" spans="7:8">
      <c r="G579" s="5"/>
      <c r="H579" s="5"/>
    </row>
    <row r="580" customFormat="1" spans="7:8">
      <c r="G580" s="5"/>
      <c r="H580" s="5"/>
    </row>
    <row r="581" customFormat="1" spans="7:8">
      <c r="G581" s="5"/>
      <c r="H581" s="5"/>
    </row>
    <row r="582" customFormat="1" spans="7:8">
      <c r="G582" s="5"/>
      <c r="H582" s="5"/>
    </row>
    <row r="583" customFormat="1" spans="7:8">
      <c r="G583" s="5"/>
      <c r="H583" s="5"/>
    </row>
    <row r="584" customFormat="1" spans="7:8">
      <c r="G584" s="5"/>
      <c r="H584" s="5"/>
    </row>
    <row r="585" customFormat="1" spans="7:8">
      <c r="G585" s="5"/>
      <c r="H585" s="5"/>
    </row>
    <row r="586" customFormat="1" spans="7:8">
      <c r="G586" s="5"/>
      <c r="H586" s="5"/>
    </row>
    <row r="587" customFormat="1" spans="7:8">
      <c r="G587" s="5"/>
      <c r="H587" s="5"/>
    </row>
    <row r="588" customFormat="1" spans="7:8">
      <c r="G588" s="5"/>
      <c r="H588" s="5"/>
    </row>
    <row r="589" customFormat="1" spans="7:8">
      <c r="G589" s="5"/>
      <c r="H589" s="5"/>
    </row>
    <row r="590" customFormat="1" spans="7:8">
      <c r="G590" s="5"/>
      <c r="H590" s="5"/>
    </row>
    <row r="591" customFormat="1" spans="7:8">
      <c r="G591" s="5"/>
      <c r="H591" s="5"/>
    </row>
    <row r="592" customFormat="1" spans="7:8">
      <c r="G592" s="5"/>
      <c r="H592" s="5"/>
    </row>
    <row r="593" customFormat="1" spans="7:8">
      <c r="G593" s="5"/>
      <c r="H593" s="5"/>
    </row>
    <row r="594" customFormat="1" spans="7:8">
      <c r="G594" s="5"/>
      <c r="H594" s="5"/>
    </row>
    <row r="595" customFormat="1" spans="7:8">
      <c r="G595" s="5"/>
      <c r="H595" s="5"/>
    </row>
    <row r="596" customFormat="1" spans="7:8">
      <c r="G596" s="5"/>
      <c r="H596" s="5"/>
    </row>
    <row r="597" customFormat="1" spans="7:8">
      <c r="G597" s="5"/>
      <c r="H597" s="5"/>
    </row>
    <row r="598" customFormat="1" spans="7:8">
      <c r="G598" s="5"/>
      <c r="H598" s="5"/>
    </row>
    <row r="599" customFormat="1" spans="7:8">
      <c r="G599" s="5"/>
      <c r="H599" s="5"/>
    </row>
    <row r="600" customFormat="1" spans="7:8">
      <c r="G600" s="5"/>
      <c r="H600" s="5"/>
    </row>
    <row r="601" customFormat="1" spans="7:8">
      <c r="G601" s="5"/>
      <c r="H601" s="5"/>
    </row>
    <row r="602" customFormat="1" spans="7:8">
      <c r="G602" s="5"/>
      <c r="H602" s="5"/>
    </row>
    <row r="603" customFormat="1" spans="7:8">
      <c r="G603" s="5"/>
      <c r="H603" s="5"/>
    </row>
    <row r="604" customFormat="1" spans="7:8">
      <c r="G604" s="5"/>
      <c r="H604" s="5"/>
    </row>
    <row r="605" customFormat="1" spans="7:8">
      <c r="G605" s="5"/>
      <c r="H605" s="5"/>
    </row>
    <row r="606" customFormat="1" spans="7:8">
      <c r="G606" s="5"/>
      <c r="H606" s="5"/>
    </row>
    <row r="607" customFormat="1" spans="7:8">
      <c r="G607" s="5"/>
      <c r="H607" s="5"/>
    </row>
    <row r="608" customFormat="1" spans="7:8">
      <c r="G608" s="5"/>
      <c r="H608" s="5"/>
    </row>
    <row r="609" customFormat="1" spans="7:8">
      <c r="G609" s="5"/>
      <c r="H609" s="5"/>
    </row>
    <row r="610" customFormat="1" spans="7:8">
      <c r="G610" s="5"/>
      <c r="H610" s="5"/>
    </row>
    <row r="611" customFormat="1" spans="7:8">
      <c r="G611" s="5"/>
      <c r="H611" s="5"/>
    </row>
    <row r="612" customFormat="1" spans="7:8">
      <c r="G612" s="5"/>
      <c r="H612" s="5"/>
    </row>
    <row r="613" customFormat="1" spans="7:8">
      <c r="G613" s="5"/>
      <c r="H613" s="5"/>
    </row>
    <row r="614" customFormat="1" spans="7:8">
      <c r="G614" s="5"/>
      <c r="H614" s="5"/>
    </row>
    <row r="615" customFormat="1" spans="7:8">
      <c r="G615" s="5"/>
      <c r="H615" s="5"/>
    </row>
    <row r="616" customFormat="1" spans="7:8">
      <c r="G616" s="5"/>
      <c r="H616" s="5"/>
    </row>
    <row r="617" customFormat="1" spans="7:8">
      <c r="G617" s="5"/>
      <c r="H617" s="5"/>
    </row>
    <row r="618" customFormat="1" spans="7:8">
      <c r="G618" s="5"/>
      <c r="H618" s="5"/>
    </row>
    <row r="619" customFormat="1" spans="7:8">
      <c r="G619" s="5"/>
      <c r="H619" s="5"/>
    </row>
    <row r="620" customFormat="1" spans="7:8">
      <c r="G620" s="5"/>
      <c r="H620" s="5"/>
    </row>
    <row r="621" customFormat="1" spans="7:8">
      <c r="G621" s="5"/>
      <c r="H621" s="5"/>
    </row>
    <row r="622" customFormat="1" spans="7:8">
      <c r="G622" s="5"/>
      <c r="H622" s="5"/>
    </row>
    <row r="623" customFormat="1" spans="7:8">
      <c r="G623" s="5"/>
      <c r="H623" s="5"/>
    </row>
    <row r="624" customFormat="1" spans="7:8">
      <c r="G624" s="5"/>
      <c r="H624" s="5"/>
    </row>
    <row r="625" customFormat="1" spans="7:8">
      <c r="G625" s="5"/>
      <c r="H625" s="5"/>
    </row>
    <row r="626" customFormat="1" spans="7:8">
      <c r="G626" s="5"/>
      <c r="H626" s="5"/>
    </row>
    <row r="627" customFormat="1" spans="7:8">
      <c r="G627" s="5"/>
      <c r="H627" s="5"/>
    </row>
    <row r="628" customFormat="1" spans="7:8">
      <c r="G628" s="5"/>
      <c r="H628" s="5"/>
    </row>
    <row r="629" customFormat="1" spans="7:8">
      <c r="G629" s="5"/>
      <c r="H629" s="5"/>
    </row>
    <row r="630" customFormat="1" spans="7:8">
      <c r="G630" s="5"/>
      <c r="H630" s="5"/>
    </row>
    <row r="631" customFormat="1" spans="7:8">
      <c r="G631" s="5"/>
      <c r="H631" s="5"/>
    </row>
    <row r="632" customFormat="1" spans="7:8">
      <c r="G632" s="5"/>
      <c r="H632" s="5"/>
    </row>
    <row r="633" customFormat="1" spans="7:8">
      <c r="G633" s="5"/>
      <c r="H633" s="5"/>
    </row>
    <row r="634" customFormat="1" spans="7:8">
      <c r="G634" s="5"/>
      <c r="H634" s="5"/>
    </row>
    <row r="635" customFormat="1" spans="7:8">
      <c r="G635" s="5"/>
      <c r="H635" s="5"/>
    </row>
    <row r="636" customFormat="1" spans="7:8">
      <c r="G636" s="5"/>
      <c r="H636" s="5"/>
    </row>
    <row r="637" customFormat="1" spans="7:8">
      <c r="G637" s="5"/>
      <c r="H637" s="5"/>
    </row>
    <row r="638" customFormat="1" spans="7:8">
      <c r="G638" s="5"/>
      <c r="H638" s="5"/>
    </row>
    <row r="639" customFormat="1" spans="7:8">
      <c r="G639" s="5"/>
      <c r="H639" s="5"/>
    </row>
    <row r="640" customFormat="1" spans="7:8">
      <c r="G640" s="5"/>
      <c r="H640" s="5"/>
    </row>
    <row r="641" customFormat="1" spans="7:8">
      <c r="G641" s="5"/>
      <c r="H641" s="5"/>
    </row>
    <row r="642" customFormat="1" spans="7:8">
      <c r="G642" s="5"/>
      <c r="H642" s="5"/>
    </row>
    <row r="643" customFormat="1" spans="7:8">
      <c r="G643" s="5"/>
      <c r="H643" s="5"/>
    </row>
    <row r="644" customFormat="1" spans="7:8">
      <c r="G644" s="5"/>
      <c r="H644" s="5"/>
    </row>
    <row r="645" customFormat="1" spans="7:8">
      <c r="G645" s="5"/>
      <c r="H645" s="5"/>
    </row>
    <row r="646" customFormat="1" spans="7:8">
      <c r="G646" s="5"/>
      <c r="H646" s="5"/>
    </row>
    <row r="647" customFormat="1" spans="7:8">
      <c r="G647" s="5"/>
      <c r="H647" s="5"/>
    </row>
    <row r="648" customFormat="1" spans="7:8">
      <c r="G648" s="5"/>
      <c r="H648" s="5"/>
    </row>
    <row r="649" customFormat="1" spans="7:8">
      <c r="G649" s="5"/>
      <c r="H649" s="5"/>
    </row>
    <row r="650" customFormat="1" spans="7:8">
      <c r="G650" s="5"/>
      <c r="H650" s="5"/>
    </row>
    <row r="651" customFormat="1" spans="7:8">
      <c r="G651" s="5"/>
      <c r="H651" s="5"/>
    </row>
    <row r="652" customFormat="1" spans="7:8">
      <c r="G652" s="5"/>
      <c r="H652" s="5"/>
    </row>
    <row r="653" customFormat="1" spans="7:8">
      <c r="G653" s="5"/>
      <c r="H653" s="5"/>
    </row>
    <row r="654" customFormat="1" spans="7:8">
      <c r="G654" s="5"/>
      <c r="H654" s="5"/>
    </row>
    <row r="655" customFormat="1" spans="7:8">
      <c r="G655" s="5"/>
      <c r="H655" s="5"/>
    </row>
    <row r="656" customFormat="1" spans="7:8">
      <c r="G656" s="5"/>
      <c r="H656" s="5"/>
    </row>
    <row r="657" customFormat="1" spans="7:8">
      <c r="G657" s="5"/>
      <c r="H657" s="5"/>
    </row>
    <row r="658" customFormat="1" spans="7:8">
      <c r="G658" s="5"/>
      <c r="H658" s="5"/>
    </row>
    <row r="659" customFormat="1" spans="7:8">
      <c r="G659" s="5"/>
      <c r="H659" s="5"/>
    </row>
    <row r="660" customFormat="1" spans="7:8">
      <c r="G660" s="5"/>
      <c r="H660" s="5"/>
    </row>
    <row r="661" customFormat="1" spans="7:8">
      <c r="G661" s="5"/>
      <c r="H661" s="5"/>
    </row>
    <row r="662" customFormat="1" spans="7:8">
      <c r="G662" s="5"/>
      <c r="H662" s="5"/>
    </row>
    <row r="663" customFormat="1" spans="7:8">
      <c r="G663" s="5"/>
      <c r="H663" s="5"/>
    </row>
    <row r="664" customFormat="1" spans="7:8">
      <c r="G664" s="5"/>
      <c r="H664" s="5"/>
    </row>
    <row r="665" customFormat="1" spans="7:8">
      <c r="G665" s="5"/>
      <c r="H665" s="5"/>
    </row>
    <row r="666" customFormat="1" spans="7:8">
      <c r="G666" s="5"/>
      <c r="H666" s="5"/>
    </row>
    <row r="667" customFormat="1" spans="7:8">
      <c r="G667" s="5"/>
      <c r="H667" s="5"/>
    </row>
    <row r="668" customFormat="1" spans="7:8">
      <c r="G668" s="5"/>
      <c r="H668" s="5"/>
    </row>
    <row r="669" customFormat="1" spans="7:8">
      <c r="G669" s="5"/>
      <c r="H669" s="5"/>
    </row>
    <row r="670" customFormat="1" spans="7:8">
      <c r="G670" s="5"/>
      <c r="H670" s="5"/>
    </row>
    <row r="671" customFormat="1" spans="7:8">
      <c r="G671" s="5"/>
      <c r="H671" s="5"/>
    </row>
    <row r="672" customFormat="1" spans="7:8">
      <c r="G672" s="5"/>
      <c r="H672" s="5"/>
    </row>
    <row r="673" customFormat="1" spans="7:8">
      <c r="G673" s="5"/>
      <c r="H673" s="5"/>
    </row>
    <row r="674" customFormat="1" spans="7:8">
      <c r="G674" s="5"/>
      <c r="H674" s="5"/>
    </row>
    <row r="675" customFormat="1" spans="7:8">
      <c r="G675" s="5"/>
      <c r="H675" s="5"/>
    </row>
    <row r="676" customFormat="1" spans="7:8">
      <c r="G676" s="5"/>
      <c r="H676" s="5"/>
    </row>
    <row r="677" customFormat="1" spans="7:8">
      <c r="G677" s="5"/>
      <c r="H677" s="5"/>
    </row>
    <row r="678" customFormat="1" spans="7:8">
      <c r="G678" s="5"/>
      <c r="H678" s="5"/>
    </row>
    <row r="679" customFormat="1" spans="7:8">
      <c r="G679" s="5"/>
      <c r="H679" s="5"/>
    </row>
    <row r="680" customFormat="1" spans="7:8">
      <c r="G680" s="5"/>
      <c r="H680" s="5"/>
    </row>
    <row r="681" customFormat="1" spans="7:8">
      <c r="G681" s="5"/>
      <c r="H681" s="5"/>
    </row>
    <row r="682" customFormat="1" spans="7:8">
      <c r="G682" s="5"/>
      <c r="H682" s="5"/>
    </row>
    <row r="683" customFormat="1" spans="7:8">
      <c r="G683" s="5"/>
      <c r="H683" s="5"/>
    </row>
    <row r="684" customFormat="1" spans="7:8">
      <c r="G684" s="5"/>
      <c r="H684" s="5"/>
    </row>
    <row r="685" customFormat="1" spans="7:8">
      <c r="G685" s="5"/>
      <c r="H685" s="5"/>
    </row>
    <row r="686" customFormat="1" spans="7:8">
      <c r="G686" s="5"/>
      <c r="H686" s="5"/>
    </row>
    <row r="687" customFormat="1" spans="7:8">
      <c r="G687" s="5"/>
      <c r="H687" s="5"/>
    </row>
    <row r="688" customFormat="1" spans="7:8">
      <c r="G688" s="5"/>
      <c r="H688" s="5"/>
    </row>
    <row r="689" customFormat="1" spans="7:8">
      <c r="G689" s="5"/>
      <c r="H689" s="5"/>
    </row>
    <row r="690" customFormat="1" spans="7:8">
      <c r="G690" s="5"/>
      <c r="H690" s="5"/>
    </row>
    <row r="691" customFormat="1" spans="7:8">
      <c r="G691" s="5"/>
      <c r="H691" s="5"/>
    </row>
    <row r="692" customFormat="1" spans="7:8">
      <c r="G692" s="5"/>
      <c r="H692" s="5"/>
    </row>
    <row r="693" customFormat="1" spans="7:8">
      <c r="G693" s="5"/>
      <c r="H693" s="5"/>
    </row>
    <row r="694" customFormat="1" spans="7:8">
      <c r="G694" s="5"/>
      <c r="H694" s="5"/>
    </row>
    <row r="695" customFormat="1" spans="7:8">
      <c r="G695" s="5"/>
      <c r="H695" s="5"/>
    </row>
    <row r="696" customFormat="1" spans="7:8">
      <c r="G696" s="5"/>
      <c r="H696" s="5"/>
    </row>
    <row r="697" customFormat="1" spans="7:8">
      <c r="G697" s="5"/>
      <c r="H697" s="5"/>
    </row>
    <row r="698" customFormat="1" spans="7:8">
      <c r="G698" s="5"/>
      <c r="H698" s="5"/>
    </row>
    <row r="699" customFormat="1" spans="7:8">
      <c r="G699" s="5"/>
      <c r="H699" s="5"/>
    </row>
    <row r="700" customFormat="1" spans="7:8">
      <c r="G700" s="5"/>
      <c r="H700" s="5"/>
    </row>
    <row r="701" customFormat="1" spans="7:8">
      <c r="G701" s="5"/>
      <c r="H701" s="5"/>
    </row>
    <row r="702" customFormat="1" spans="7:8">
      <c r="G702" s="5"/>
      <c r="H702" s="5"/>
    </row>
    <row r="703" customFormat="1" spans="7:8">
      <c r="G703" s="5"/>
      <c r="H703" s="5"/>
    </row>
    <row r="704" customFormat="1" spans="7:8">
      <c r="G704" s="5"/>
      <c r="H704" s="5"/>
    </row>
    <row r="705" customFormat="1" spans="7:8">
      <c r="G705" s="5"/>
      <c r="H705" s="5"/>
    </row>
    <row r="706" customFormat="1" spans="7:8">
      <c r="G706" s="5"/>
      <c r="H706" s="5"/>
    </row>
    <row r="707" customFormat="1" spans="7:8">
      <c r="G707" s="5"/>
      <c r="H707" s="5"/>
    </row>
    <row r="708" customFormat="1" spans="7:8">
      <c r="G708" s="5"/>
      <c r="H708" s="5"/>
    </row>
    <row r="709" customFormat="1" spans="7:8">
      <c r="G709" s="5"/>
      <c r="H709" s="5"/>
    </row>
    <row r="710" customFormat="1" spans="7:8">
      <c r="G710" s="5"/>
      <c r="H710" s="5"/>
    </row>
    <row r="711" customFormat="1" spans="7:8">
      <c r="G711" s="5"/>
      <c r="H711" s="5"/>
    </row>
    <row r="712" customFormat="1" spans="7:8">
      <c r="G712" s="5"/>
      <c r="H712" s="5"/>
    </row>
    <row r="713" customFormat="1" spans="7:8">
      <c r="G713" s="5"/>
      <c r="H713" s="5"/>
    </row>
    <row r="714" customFormat="1" spans="7:8">
      <c r="G714" s="5"/>
      <c r="H714" s="5"/>
    </row>
    <row r="715" customFormat="1" spans="7:8">
      <c r="G715" s="5"/>
      <c r="H715" s="5"/>
    </row>
    <row r="716" customFormat="1" spans="7:8">
      <c r="G716" s="5"/>
      <c r="H716" s="5"/>
    </row>
    <row r="717" customFormat="1" spans="7:8">
      <c r="G717" s="5"/>
      <c r="H717" s="5"/>
    </row>
    <row r="718" customFormat="1" spans="7:8">
      <c r="G718" s="5"/>
      <c r="H718" s="5"/>
    </row>
    <row r="719" customFormat="1" spans="7:8">
      <c r="G719" s="5"/>
      <c r="H719" s="5"/>
    </row>
    <row r="720" customFormat="1" spans="7:8">
      <c r="G720" s="5"/>
      <c r="H720" s="5"/>
    </row>
    <row r="721" customFormat="1" spans="7:8">
      <c r="G721" s="5"/>
      <c r="H721" s="5"/>
    </row>
    <row r="722" customFormat="1" spans="7:8">
      <c r="G722" s="5"/>
      <c r="H722" s="5"/>
    </row>
    <row r="723" customFormat="1" spans="7:8">
      <c r="G723" s="5"/>
      <c r="H723" s="5"/>
    </row>
    <row r="724" customFormat="1" spans="7:8">
      <c r="G724" s="5"/>
      <c r="H724" s="5"/>
    </row>
    <row r="725" customFormat="1" spans="7:8">
      <c r="G725" s="5"/>
      <c r="H725" s="5"/>
    </row>
    <row r="726" customFormat="1" spans="7:8">
      <c r="G726" s="5"/>
      <c r="H726" s="5"/>
    </row>
    <row r="727" customFormat="1" spans="7:8">
      <c r="G727" s="5"/>
      <c r="H727" s="5"/>
    </row>
    <row r="728" customFormat="1" spans="7:8">
      <c r="G728" s="5"/>
      <c r="H728" s="5"/>
    </row>
    <row r="729" customFormat="1" spans="7:8">
      <c r="G729" s="5"/>
      <c r="H729" s="5"/>
    </row>
    <row r="730" customFormat="1" spans="7:8">
      <c r="G730" s="5"/>
      <c r="H730" s="5"/>
    </row>
    <row r="731" customFormat="1" spans="7:8">
      <c r="G731" s="5"/>
      <c r="H731" s="5"/>
    </row>
    <row r="732" customFormat="1" spans="7:8">
      <c r="G732" s="5"/>
      <c r="H732" s="5"/>
    </row>
    <row r="733" customFormat="1" spans="7:8">
      <c r="G733" s="5"/>
      <c r="H733" s="5"/>
    </row>
    <row r="734" customFormat="1" spans="7:8">
      <c r="G734" s="5"/>
      <c r="H734" s="5"/>
    </row>
    <row r="735" customFormat="1" spans="7:8">
      <c r="G735" s="5"/>
      <c r="H735" s="5"/>
    </row>
    <row r="736" customFormat="1" spans="7:8">
      <c r="G736" s="5"/>
      <c r="H736" s="5"/>
    </row>
    <row r="737" customFormat="1" spans="7:8">
      <c r="G737" s="5"/>
      <c r="H737" s="5"/>
    </row>
    <row r="738" customFormat="1" spans="7:8">
      <c r="G738" s="5"/>
      <c r="H738" s="5"/>
    </row>
    <row r="739" customFormat="1" spans="7:8">
      <c r="G739" s="5"/>
      <c r="H739" s="5"/>
    </row>
    <row r="740" customFormat="1" spans="7:8">
      <c r="G740" s="5"/>
      <c r="H740" s="5"/>
    </row>
    <row r="741" customFormat="1" spans="7:8">
      <c r="G741" s="5"/>
      <c r="H741" s="5"/>
    </row>
    <row r="742" customFormat="1" spans="7:8">
      <c r="G742" s="5"/>
      <c r="H742" s="5"/>
    </row>
    <row r="743" customFormat="1" spans="7:8">
      <c r="G743" s="5"/>
      <c r="H743" s="5"/>
    </row>
    <row r="744" customFormat="1" spans="7:8">
      <c r="G744" s="5"/>
      <c r="H744" s="5"/>
    </row>
    <row r="745" customFormat="1" spans="7:8">
      <c r="G745" s="5"/>
      <c r="H745" s="5"/>
    </row>
    <row r="746" customFormat="1" spans="7:8">
      <c r="G746" s="5"/>
      <c r="H746" s="5"/>
    </row>
    <row r="747" customFormat="1" spans="7:8">
      <c r="G747" s="5"/>
      <c r="H747" s="5"/>
    </row>
    <row r="748" customFormat="1" spans="7:8">
      <c r="G748" s="5"/>
      <c r="H748" s="5"/>
    </row>
    <row r="749" customFormat="1" spans="7:8">
      <c r="G749" s="5"/>
      <c r="H749" s="5"/>
    </row>
    <row r="750" customFormat="1" spans="7:8">
      <c r="G750" s="5"/>
      <c r="H750" s="5"/>
    </row>
    <row r="751" customFormat="1" spans="7:8">
      <c r="G751" s="5"/>
      <c r="H751" s="5"/>
    </row>
    <row r="752" customFormat="1" spans="7:8">
      <c r="G752" s="5"/>
      <c r="H752" s="5"/>
    </row>
    <row r="753" customFormat="1" spans="7:8">
      <c r="G753" s="5"/>
      <c r="H753" s="5"/>
    </row>
    <row r="754" customFormat="1" spans="7:8">
      <c r="G754" s="5"/>
      <c r="H754" s="5"/>
    </row>
    <row r="755" customFormat="1" spans="7:8">
      <c r="G755" s="5"/>
      <c r="H755" s="5"/>
    </row>
    <row r="756" customFormat="1" spans="7:8">
      <c r="G756" s="5"/>
      <c r="H756" s="5"/>
    </row>
    <row r="757" customFormat="1" spans="7:8">
      <c r="G757" s="5"/>
      <c r="H757" s="5"/>
    </row>
    <row r="758" customFormat="1" spans="7:8">
      <c r="G758" s="5"/>
      <c r="H758" s="5"/>
    </row>
    <row r="759" customFormat="1" spans="7:8">
      <c r="G759" s="5"/>
      <c r="H759" s="5"/>
    </row>
    <row r="760" customFormat="1" spans="7:8">
      <c r="G760" s="5"/>
      <c r="H760" s="5"/>
    </row>
    <row r="761" customFormat="1" spans="7:8">
      <c r="G761" s="5"/>
      <c r="H761" s="5"/>
    </row>
    <row r="762" customFormat="1" spans="7:8">
      <c r="G762" s="5"/>
      <c r="H762" s="5"/>
    </row>
    <row r="763" customFormat="1" spans="7:8">
      <c r="G763" s="5"/>
      <c r="H763" s="5"/>
    </row>
    <row r="764" customFormat="1" spans="7:8">
      <c r="G764" s="5"/>
      <c r="H764" s="5"/>
    </row>
    <row r="765" customFormat="1" spans="7:8">
      <c r="G765" s="5"/>
      <c r="H765" s="5"/>
    </row>
    <row r="766" customFormat="1" spans="7:8">
      <c r="G766" s="5"/>
      <c r="H766" s="5"/>
    </row>
    <row r="767" customFormat="1" spans="7:8">
      <c r="G767" s="5"/>
      <c r="H767" s="5"/>
    </row>
    <row r="768" customFormat="1" spans="7:8">
      <c r="G768" s="5"/>
      <c r="H768" s="5"/>
    </row>
    <row r="769" customFormat="1" spans="7:8">
      <c r="G769" s="5"/>
      <c r="H769" s="5"/>
    </row>
    <row r="770" customFormat="1" spans="7:8">
      <c r="G770" s="5"/>
      <c r="H770" s="5"/>
    </row>
    <row r="771" customFormat="1" spans="7:8">
      <c r="G771" s="5"/>
      <c r="H771" s="5"/>
    </row>
    <row r="772" customFormat="1" spans="7:8">
      <c r="G772" s="5"/>
      <c r="H772" s="5"/>
    </row>
    <row r="773" customFormat="1" spans="7:8">
      <c r="G773" s="5"/>
      <c r="H773" s="5"/>
    </row>
    <row r="774" customFormat="1" spans="7:8">
      <c r="G774" s="5"/>
      <c r="H774" s="5"/>
    </row>
    <row r="775" customFormat="1" spans="7:8">
      <c r="G775" s="5"/>
      <c r="H775" s="5"/>
    </row>
    <row r="776" customFormat="1" spans="7:8">
      <c r="G776" s="5"/>
      <c r="H776" s="5"/>
    </row>
    <row r="777" customFormat="1" spans="7:8">
      <c r="G777" s="5"/>
      <c r="H777" s="5"/>
    </row>
    <row r="778" customFormat="1" spans="7:8">
      <c r="G778" s="5"/>
      <c r="H778" s="5"/>
    </row>
    <row r="779" customFormat="1" spans="7:8">
      <c r="G779" s="5"/>
      <c r="H779" s="5"/>
    </row>
    <row r="780" customFormat="1" spans="7:8">
      <c r="G780" s="5"/>
      <c r="H780" s="5"/>
    </row>
    <row r="781" customFormat="1" spans="7:8">
      <c r="G781" s="5"/>
      <c r="H781" s="5"/>
    </row>
    <row r="782" customFormat="1" spans="7:8">
      <c r="G782" s="5"/>
      <c r="H782" s="5"/>
    </row>
    <row r="783" customFormat="1" spans="7:8">
      <c r="G783" s="5"/>
      <c r="H783" s="5"/>
    </row>
    <row r="784" customFormat="1" spans="7:8">
      <c r="G784" s="5"/>
      <c r="H784" s="5"/>
    </row>
    <row r="785" customFormat="1" spans="7:8">
      <c r="G785" s="5"/>
      <c r="H785" s="5"/>
    </row>
    <row r="786" customFormat="1" spans="7:8">
      <c r="G786" s="5"/>
      <c r="H786" s="5"/>
    </row>
    <row r="787" customFormat="1" spans="7:8">
      <c r="G787" s="5"/>
      <c r="H787" s="5"/>
    </row>
    <row r="788" customFormat="1" spans="7:8">
      <c r="G788" s="5"/>
      <c r="H788" s="5"/>
    </row>
    <row r="789" customFormat="1" spans="7:8">
      <c r="G789" s="5"/>
      <c r="H789" s="5"/>
    </row>
    <row r="790" customFormat="1" spans="7:8">
      <c r="G790" s="5"/>
      <c r="H790" s="5"/>
    </row>
    <row r="791" customFormat="1" spans="7:8">
      <c r="G791" s="5"/>
      <c r="H791" s="5"/>
    </row>
    <row r="792" customFormat="1" spans="7:8">
      <c r="G792" s="5"/>
      <c r="H792" s="5"/>
    </row>
    <row r="793" customFormat="1" spans="7:8">
      <c r="G793" s="5"/>
      <c r="H793" s="5"/>
    </row>
    <row r="794" customFormat="1" spans="7:8">
      <c r="G794" s="5"/>
      <c r="H794" s="5"/>
    </row>
    <row r="795" customFormat="1" spans="7:8">
      <c r="G795" s="5"/>
      <c r="H795" s="5"/>
    </row>
    <row r="796" customFormat="1" spans="7:8">
      <c r="G796" s="5"/>
      <c r="H796" s="5"/>
    </row>
    <row r="797" customFormat="1" spans="7:8">
      <c r="G797" s="5"/>
      <c r="H797" s="5"/>
    </row>
    <row r="798" customFormat="1" spans="7:8">
      <c r="G798" s="5"/>
      <c r="H798" s="5"/>
    </row>
    <row r="799" customFormat="1" spans="7:8">
      <c r="G799" s="5"/>
      <c r="H799" s="5"/>
    </row>
    <row r="800" customFormat="1" spans="7:8">
      <c r="G800" s="5"/>
      <c r="H800" s="5"/>
    </row>
    <row r="801" customFormat="1" spans="7:8">
      <c r="G801" s="5"/>
      <c r="H801" s="5"/>
    </row>
    <row r="802" customFormat="1" spans="7:8">
      <c r="G802" s="5"/>
      <c r="H802" s="5"/>
    </row>
    <row r="803" customFormat="1" spans="7:8">
      <c r="G803" s="5"/>
      <c r="H803" s="5"/>
    </row>
    <row r="804" customFormat="1" spans="7:8">
      <c r="G804" s="5"/>
      <c r="H804" s="5"/>
    </row>
    <row r="805" customFormat="1" spans="7:8">
      <c r="G805" s="5"/>
      <c r="H805" s="5"/>
    </row>
    <row r="806" customFormat="1" spans="7:8">
      <c r="G806" s="5"/>
      <c r="H806" s="5"/>
    </row>
    <row r="807" customFormat="1" spans="7:8">
      <c r="G807" s="5"/>
      <c r="H807" s="5"/>
    </row>
    <row r="808" customFormat="1" spans="7:8">
      <c r="G808" s="5"/>
      <c r="H808" s="5"/>
    </row>
    <row r="809" customFormat="1" spans="7:8">
      <c r="G809" s="5"/>
      <c r="H809" s="5"/>
    </row>
    <row r="810" customFormat="1" spans="7:8">
      <c r="G810" s="5"/>
      <c r="H810" s="5"/>
    </row>
    <row r="811" customFormat="1" spans="7:8">
      <c r="G811" s="5"/>
      <c r="H811" s="5"/>
    </row>
    <row r="812" customFormat="1" spans="7:8">
      <c r="G812" s="5"/>
      <c r="H812" s="5"/>
    </row>
    <row r="813" customFormat="1" spans="7:8">
      <c r="G813" s="5"/>
      <c r="H813" s="5"/>
    </row>
    <row r="814" customFormat="1" spans="7:8">
      <c r="G814" s="5"/>
      <c r="H814" s="5"/>
    </row>
    <row r="815" customFormat="1" spans="7:8">
      <c r="G815" s="5"/>
      <c r="H815" s="5"/>
    </row>
    <row r="816" customFormat="1" spans="7:8">
      <c r="G816" s="5"/>
      <c r="H816" s="5"/>
    </row>
    <row r="817" customFormat="1" spans="7:8">
      <c r="G817" s="5"/>
      <c r="H817" s="5"/>
    </row>
    <row r="818" customFormat="1" spans="7:8">
      <c r="G818" s="5"/>
      <c r="H818" s="5"/>
    </row>
    <row r="819" customFormat="1" spans="7:8">
      <c r="G819" s="5"/>
      <c r="H819" s="5"/>
    </row>
    <row r="820" customFormat="1" spans="7:8">
      <c r="G820" s="5"/>
      <c r="H820" s="5"/>
    </row>
    <row r="821" customFormat="1" spans="7:8">
      <c r="G821" s="5"/>
      <c r="H821" s="5"/>
    </row>
    <row r="822" customFormat="1" spans="7:8">
      <c r="G822" s="5"/>
      <c r="H822" s="5"/>
    </row>
    <row r="823" customFormat="1" spans="7:8">
      <c r="G823" s="5"/>
      <c r="H823" s="5"/>
    </row>
    <row r="824" customFormat="1" spans="7:8">
      <c r="G824" s="5"/>
      <c r="H824" s="5"/>
    </row>
    <row r="825" customFormat="1" spans="7:8">
      <c r="G825" s="5"/>
      <c r="H825" s="5"/>
    </row>
    <row r="826" customFormat="1" spans="7:8">
      <c r="G826" s="5"/>
      <c r="H826" s="5"/>
    </row>
    <row r="827" customFormat="1" spans="7:8">
      <c r="G827" s="5"/>
      <c r="H827" s="5"/>
    </row>
    <row r="828" customFormat="1" spans="7:8">
      <c r="G828" s="5"/>
      <c r="H828" s="5"/>
    </row>
    <row r="829" customFormat="1" spans="7:8">
      <c r="G829" s="5"/>
      <c r="H829" s="5"/>
    </row>
    <row r="830" customFormat="1" spans="7:8">
      <c r="G830" s="5"/>
      <c r="H830" s="5"/>
    </row>
    <row r="831" customFormat="1" spans="7:8">
      <c r="G831" s="5"/>
      <c r="H831" s="5"/>
    </row>
    <row r="832" customFormat="1" spans="7:8">
      <c r="G832" s="5"/>
      <c r="H832" s="5"/>
    </row>
    <row r="833" customFormat="1" spans="7:8">
      <c r="G833" s="5"/>
      <c r="H833" s="5"/>
    </row>
    <row r="834" customFormat="1" spans="7:8">
      <c r="G834" s="5"/>
      <c r="H834" s="5"/>
    </row>
    <row r="835" customFormat="1" spans="7:8">
      <c r="G835" s="5"/>
      <c r="H835" s="5"/>
    </row>
    <row r="836" customFormat="1" spans="7:8">
      <c r="G836" s="5"/>
      <c r="H836" s="5"/>
    </row>
    <row r="837" customFormat="1" spans="7:8">
      <c r="G837" s="5"/>
      <c r="H837" s="5"/>
    </row>
    <row r="838" customFormat="1" spans="7:8">
      <c r="G838" s="5"/>
      <c r="H838" s="5"/>
    </row>
    <row r="839" customFormat="1" spans="7:8">
      <c r="G839" s="5"/>
      <c r="H839" s="5"/>
    </row>
    <row r="840" customFormat="1" spans="7:8">
      <c r="G840" s="5"/>
      <c r="H840" s="5"/>
    </row>
    <row r="841" customFormat="1" spans="7:8">
      <c r="G841" s="5"/>
      <c r="H841" s="5"/>
    </row>
    <row r="842" customFormat="1" spans="7:8">
      <c r="G842" s="5"/>
      <c r="H842" s="5"/>
    </row>
    <row r="843" customFormat="1" spans="7:8">
      <c r="G843" s="5"/>
      <c r="H843" s="5"/>
    </row>
    <row r="844" customFormat="1" spans="7:8">
      <c r="G844" s="5"/>
      <c r="H844" s="5"/>
    </row>
    <row r="845" customFormat="1" spans="7:8">
      <c r="G845" s="5"/>
      <c r="H845" s="5"/>
    </row>
    <row r="846" customFormat="1" spans="7:8">
      <c r="G846" s="5"/>
      <c r="H846" s="5"/>
    </row>
    <row r="847" customFormat="1" spans="7:8">
      <c r="G847" s="5"/>
      <c r="H847" s="5"/>
    </row>
    <row r="848" customFormat="1" spans="7:8">
      <c r="G848" s="5"/>
      <c r="H848" s="5"/>
    </row>
    <row r="849" customFormat="1" spans="7:8">
      <c r="G849" s="5"/>
      <c r="H849" s="5"/>
    </row>
    <row r="850" customFormat="1" spans="7:8">
      <c r="G850" s="5"/>
      <c r="H850" s="5"/>
    </row>
    <row r="851" customFormat="1" spans="7:8">
      <c r="G851" s="5"/>
      <c r="H851" s="5"/>
    </row>
    <row r="852" customFormat="1" spans="7:8">
      <c r="G852" s="5"/>
      <c r="H852" s="5"/>
    </row>
    <row r="853" customFormat="1" spans="7:8">
      <c r="G853" s="5"/>
      <c r="H853" s="5"/>
    </row>
    <row r="854" customFormat="1" spans="7:8">
      <c r="G854" s="5"/>
      <c r="H854" s="5"/>
    </row>
    <row r="855" customFormat="1" spans="7:8">
      <c r="G855" s="5"/>
      <c r="H855" s="5"/>
    </row>
    <row r="856" customFormat="1" spans="7:8">
      <c r="G856" s="5"/>
      <c r="H856" s="5"/>
    </row>
    <row r="857" customFormat="1" spans="7:8">
      <c r="G857" s="5"/>
      <c r="H857" s="5"/>
    </row>
    <row r="858" customFormat="1" spans="7:8">
      <c r="G858" s="5"/>
      <c r="H858" s="5"/>
    </row>
    <row r="859" customFormat="1" spans="7:8">
      <c r="G859" s="5"/>
      <c r="H859" s="5"/>
    </row>
    <row r="860" customFormat="1" spans="7:8">
      <c r="G860" s="5"/>
      <c r="H860" s="5"/>
    </row>
    <row r="861" customFormat="1" spans="7:8">
      <c r="G861" s="5"/>
      <c r="H861" s="5"/>
    </row>
    <row r="862" customFormat="1" spans="7:8">
      <c r="G862" s="5"/>
      <c r="H862" s="5"/>
    </row>
    <row r="863" customFormat="1" spans="7:8">
      <c r="G863" s="5"/>
      <c r="H863" s="5"/>
    </row>
    <row r="864" customFormat="1" spans="7:8">
      <c r="G864" s="5"/>
      <c r="H864" s="5"/>
    </row>
    <row r="865" customFormat="1" spans="7:8">
      <c r="G865" s="5"/>
      <c r="H865" s="5"/>
    </row>
    <row r="866" customFormat="1" spans="7:8">
      <c r="G866" s="5"/>
      <c r="H866" s="5"/>
    </row>
    <row r="867" customFormat="1" spans="7:8">
      <c r="G867" s="5"/>
      <c r="H867" s="5"/>
    </row>
    <row r="868" customFormat="1" spans="7:8">
      <c r="G868" s="5"/>
      <c r="H868" s="5"/>
    </row>
    <row r="869" customFormat="1" spans="7:8">
      <c r="G869" s="5"/>
      <c r="H869" s="5"/>
    </row>
    <row r="870" customFormat="1" spans="7:8">
      <c r="G870" s="5"/>
      <c r="H870" s="5"/>
    </row>
    <row r="871" customFormat="1" spans="7:8">
      <c r="G871" s="5"/>
      <c r="H871" s="5"/>
    </row>
    <row r="872" customFormat="1" spans="7:8">
      <c r="G872" s="5"/>
      <c r="H872" s="5"/>
    </row>
    <row r="873" customFormat="1" spans="7:8">
      <c r="G873" s="5"/>
      <c r="H873" s="5"/>
    </row>
    <row r="874" customFormat="1" spans="7:8">
      <c r="G874" s="5"/>
      <c r="H874" s="5"/>
    </row>
    <row r="875" customFormat="1" spans="7:8">
      <c r="G875" s="5"/>
      <c r="H875" s="5"/>
    </row>
    <row r="876" customFormat="1" spans="7:8">
      <c r="G876" s="5"/>
      <c r="H876" s="5"/>
    </row>
    <row r="877" customFormat="1" spans="7:8">
      <c r="G877" s="5"/>
      <c r="H877" s="5"/>
    </row>
    <row r="878" customFormat="1" spans="7:8">
      <c r="G878" s="5"/>
      <c r="H878" s="5"/>
    </row>
    <row r="879" customFormat="1" spans="7:8">
      <c r="G879" s="5"/>
      <c r="H879" s="5"/>
    </row>
    <row r="880" customFormat="1" spans="7:8">
      <c r="G880" s="5"/>
      <c r="H880" s="5"/>
    </row>
    <row r="881" customFormat="1" spans="7:8">
      <c r="G881" s="5"/>
      <c r="H881" s="5"/>
    </row>
    <row r="882" customFormat="1" spans="7:8">
      <c r="G882" s="5"/>
      <c r="H882" s="5"/>
    </row>
    <row r="883" customFormat="1" spans="7:8">
      <c r="G883" s="5"/>
      <c r="H883" s="5"/>
    </row>
    <row r="884" customFormat="1" spans="7:8">
      <c r="G884" s="5"/>
      <c r="H884" s="5"/>
    </row>
    <row r="885" customFormat="1" spans="7:8">
      <c r="G885" s="5"/>
      <c r="H885" s="5"/>
    </row>
    <row r="886" customFormat="1" spans="7:8">
      <c r="G886" s="5"/>
      <c r="H886" s="5"/>
    </row>
    <row r="887" customFormat="1" spans="7:8">
      <c r="G887" s="5"/>
      <c r="H887" s="5"/>
    </row>
    <row r="888" customFormat="1" spans="7:8">
      <c r="G888" s="5"/>
      <c r="H888" s="5"/>
    </row>
    <row r="889" customFormat="1" spans="7:8">
      <c r="G889" s="5"/>
      <c r="H889" s="5"/>
    </row>
    <row r="890" customFormat="1" spans="7:8">
      <c r="G890" s="5"/>
      <c r="H890" s="5"/>
    </row>
    <row r="891" customFormat="1" spans="7:8">
      <c r="G891" s="5"/>
      <c r="H891" s="5"/>
    </row>
    <row r="892" customFormat="1" spans="7:8">
      <c r="G892" s="5"/>
      <c r="H892" s="5"/>
    </row>
    <row r="893" customFormat="1" spans="7:8">
      <c r="G893" s="5"/>
      <c r="H893" s="5"/>
    </row>
    <row r="894" customFormat="1" spans="7:8">
      <c r="G894" s="5"/>
      <c r="H894" s="5"/>
    </row>
    <row r="895" customFormat="1" spans="7:8">
      <c r="G895" s="5"/>
      <c r="H895" s="5"/>
    </row>
    <row r="896" customFormat="1" spans="7:8">
      <c r="G896" s="5"/>
      <c r="H896" s="5"/>
    </row>
    <row r="897" customFormat="1" spans="7:8">
      <c r="G897" s="5"/>
      <c r="H897" s="5"/>
    </row>
    <row r="898" customFormat="1" spans="7:8">
      <c r="G898" s="5"/>
      <c r="H898" s="5"/>
    </row>
    <row r="899" customFormat="1" spans="7:8">
      <c r="G899" s="5"/>
      <c r="H899" s="5"/>
    </row>
    <row r="900" customFormat="1" spans="7:8">
      <c r="G900" s="5"/>
      <c r="H900" s="5"/>
    </row>
    <row r="901" customFormat="1" spans="7:8">
      <c r="G901" s="5"/>
      <c r="H901" s="5"/>
    </row>
    <row r="902" customFormat="1" spans="7:8">
      <c r="G902" s="5"/>
      <c r="H902" s="5"/>
    </row>
    <row r="903" customFormat="1" spans="7:8">
      <c r="G903" s="5"/>
      <c r="H903" s="5"/>
    </row>
    <row r="904" customFormat="1" spans="7:8">
      <c r="G904" s="5"/>
      <c r="H904" s="5"/>
    </row>
    <row r="905" customFormat="1" spans="7:8">
      <c r="G905" s="5"/>
      <c r="H905" s="5"/>
    </row>
    <row r="906" customFormat="1" spans="7:8">
      <c r="G906" s="5"/>
      <c r="H906" s="5"/>
    </row>
    <row r="907" customFormat="1" spans="7:8">
      <c r="G907" s="5"/>
      <c r="H907" s="5"/>
    </row>
    <row r="908" customFormat="1" spans="7:8">
      <c r="G908" s="5"/>
      <c r="H908" s="5"/>
    </row>
    <row r="909" customFormat="1" spans="7:8">
      <c r="G909" s="5"/>
      <c r="H909" s="5"/>
    </row>
    <row r="910" customFormat="1" spans="7:8">
      <c r="G910" s="5"/>
      <c r="H910" s="5"/>
    </row>
    <row r="911" customFormat="1" spans="7:8">
      <c r="G911" s="5"/>
      <c r="H911" s="5"/>
    </row>
    <row r="912" customFormat="1" spans="7:8">
      <c r="G912" s="5"/>
      <c r="H912" s="5"/>
    </row>
    <row r="913" customFormat="1" spans="7:8">
      <c r="G913" s="5"/>
      <c r="H913" s="5"/>
    </row>
    <row r="914" customFormat="1" spans="7:8">
      <c r="G914" s="5"/>
      <c r="H914" s="5"/>
    </row>
    <row r="915" customFormat="1" spans="7:8">
      <c r="G915" s="5"/>
      <c r="H915" s="5"/>
    </row>
    <row r="916" customFormat="1" spans="7:8">
      <c r="G916" s="5"/>
      <c r="H916" s="5"/>
    </row>
    <row r="917" customFormat="1" spans="7:8">
      <c r="G917" s="5"/>
      <c r="H917" s="5"/>
    </row>
    <row r="918" customFormat="1" spans="7:8">
      <c r="G918" s="5"/>
      <c r="H918" s="5"/>
    </row>
    <row r="919" customFormat="1" spans="7:8">
      <c r="G919" s="5"/>
      <c r="H919" s="5"/>
    </row>
    <row r="920" customFormat="1" spans="7:8">
      <c r="G920" s="5"/>
      <c r="H920" s="5"/>
    </row>
    <row r="921" customFormat="1" spans="7:8">
      <c r="G921" s="5"/>
      <c r="H921" s="5"/>
    </row>
    <row r="922" customFormat="1" spans="7:8">
      <c r="G922" s="5"/>
      <c r="H922" s="5"/>
    </row>
    <row r="923" customFormat="1" spans="7:8">
      <c r="G923" s="5"/>
      <c r="H923" s="5"/>
    </row>
    <row r="924" customFormat="1" spans="7:8">
      <c r="G924" s="5"/>
      <c r="H924" s="5"/>
    </row>
    <row r="925" customFormat="1" spans="7:8">
      <c r="G925" s="5"/>
      <c r="H925" s="5"/>
    </row>
    <row r="926" customFormat="1" spans="7:8">
      <c r="G926" s="5"/>
      <c r="H926" s="5"/>
    </row>
    <row r="927" customFormat="1" spans="7:8">
      <c r="G927" s="5"/>
      <c r="H927" s="5"/>
    </row>
    <row r="928" customFormat="1" spans="7:8">
      <c r="G928" s="5"/>
      <c r="H928" s="5"/>
    </row>
    <row r="929" customFormat="1" spans="7:8">
      <c r="G929" s="5"/>
      <c r="H929" s="5"/>
    </row>
    <row r="930" customFormat="1" spans="7:8">
      <c r="G930" s="5"/>
      <c r="H930" s="5"/>
    </row>
    <row r="931" customFormat="1" spans="7:8">
      <c r="G931" s="5"/>
      <c r="H931" s="5"/>
    </row>
    <row r="932" customFormat="1" spans="7:8">
      <c r="G932" s="5"/>
      <c r="H932" s="5"/>
    </row>
    <row r="933" customFormat="1" spans="7:8">
      <c r="G933" s="5"/>
      <c r="H933" s="5"/>
    </row>
    <row r="934" customFormat="1" spans="7:8">
      <c r="G934" s="5"/>
      <c r="H934" s="5"/>
    </row>
    <row r="935" customFormat="1" spans="7:8">
      <c r="G935" s="5"/>
      <c r="H935" s="5"/>
    </row>
    <row r="936" customFormat="1" spans="7:8">
      <c r="G936" s="5"/>
      <c r="H936" s="5"/>
    </row>
    <row r="937" customFormat="1" spans="7:8">
      <c r="G937" s="5"/>
      <c r="H937" s="5"/>
    </row>
    <row r="938" customFormat="1" spans="7:8">
      <c r="G938" s="5"/>
      <c r="H938" s="5"/>
    </row>
    <row r="939" customFormat="1" spans="7:8">
      <c r="G939" s="5"/>
      <c r="H939" s="5"/>
    </row>
    <row r="940" customFormat="1" spans="7:8">
      <c r="G940" s="5"/>
      <c r="H940" s="5"/>
    </row>
    <row r="941" customFormat="1" spans="7:8">
      <c r="G941" s="5"/>
      <c r="H941" s="5"/>
    </row>
    <row r="942" customFormat="1" spans="7:8">
      <c r="G942" s="5"/>
      <c r="H942" s="5"/>
    </row>
    <row r="943" customFormat="1" spans="7:8">
      <c r="G943" s="5"/>
      <c r="H943" s="5"/>
    </row>
    <row r="944" customFormat="1" spans="7:8">
      <c r="G944" s="5"/>
      <c r="H944" s="5"/>
    </row>
    <row r="945" customFormat="1" spans="7:8">
      <c r="G945" s="5"/>
      <c r="H945" s="5"/>
    </row>
    <row r="946" customFormat="1" spans="7:8">
      <c r="G946" s="5"/>
      <c r="H946" s="5"/>
    </row>
    <row r="947" customFormat="1" spans="7:8">
      <c r="G947" s="5"/>
      <c r="H947" s="5"/>
    </row>
    <row r="948" customFormat="1" spans="7:8">
      <c r="G948" s="5"/>
      <c r="H948" s="5"/>
    </row>
    <row r="949" customFormat="1" spans="7:8">
      <c r="G949" s="5"/>
      <c r="H949" s="5"/>
    </row>
    <row r="950" customFormat="1" spans="7:8">
      <c r="G950" s="5"/>
      <c r="H950" s="5"/>
    </row>
    <row r="951" customFormat="1" spans="7:8">
      <c r="G951" s="5"/>
      <c r="H951" s="5"/>
    </row>
    <row r="952" customFormat="1" spans="7:8">
      <c r="G952" s="5"/>
      <c r="H952" s="5"/>
    </row>
    <row r="953" customFormat="1" spans="7:8">
      <c r="G953" s="5"/>
      <c r="H953" s="5"/>
    </row>
    <row r="954" customFormat="1" spans="7:8">
      <c r="G954" s="5"/>
      <c r="H954" s="5"/>
    </row>
    <row r="955" customFormat="1" spans="7:8">
      <c r="G955" s="5"/>
      <c r="H955" s="5"/>
    </row>
    <row r="956" customFormat="1" spans="7:8">
      <c r="G956" s="5"/>
      <c r="H956" s="5"/>
    </row>
    <row r="957" customFormat="1" spans="7:8">
      <c r="G957" s="5"/>
      <c r="H957" s="5"/>
    </row>
    <row r="958" customFormat="1" spans="7:8">
      <c r="G958" s="5"/>
      <c r="H958" s="5"/>
    </row>
    <row r="959" customFormat="1" spans="7:8">
      <c r="G959" s="5"/>
      <c r="H959" s="5"/>
    </row>
    <row r="960" customFormat="1" spans="7:8">
      <c r="G960" s="5"/>
      <c r="H960" s="5"/>
    </row>
    <row r="961" customFormat="1" spans="7:8">
      <c r="G961" s="5"/>
      <c r="H961" s="5"/>
    </row>
    <row r="962" customFormat="1" spans="7:8">
      <c r="G962" s="5"/>
      <c r="H962" s="5"/>
    </row>
    <row r="963" customFormat="1" spans="7:8">
      <c r="G963" s="5"/>
      <c r="H963" s="5"/>
    </row>
    <row r="964" customFormat="1" spans="7:8">
      <c r="G964" s="5"/>
      <c r="H964" s="5"/>
    </row>
    <row r="965" customFormat="1" spans="7:8">
      <c r="G965" s="5"/>
      <c r="H965" s="5"/>
    </row>
    <row r="966" customFormat="1" spans="7:8">
      <c r="G966" s="5"/>
      <c r="H966" s="5"/>
    </row>
    <row r="967" customFormat="1" spans="7:8">
      <c r="G967" s="5"/>
      <c r="H967" s="5"/>
    </row>
    <row r="968" customFormat="1" spans="7:8">
      <c r="G968" s="5"/>
      <c r="H968" s="5"/>
    </row>
    <row r="969" customFormat="1" spans="7:8">
      <c r="G969" s="5"/>
      <c r="H969" s="5"/>
    </row>
    <row r="970" customFormat="1" spans="7:8">
      <c r="G970" s="5"/>
      <c r="H970" s="5"/>
    </row>
    <row r="971" customFormat="1" spans="7:8">
      <c r="G971" s="5"/>
      <c r="H971" s="5"/>
    </row>
    <row r="972" customFormat="1" spans="7:8">
      <c r="G972" s="5"/>
      <c r="H972" s="5"/>
    </row>
    <row r="973" customFormat="1" spans="7:8">
      <c r="G973" s="5"/>
      <c r="H973" s="5"/>
    </row>
    <row r="974" customFormat="1" spans="7:8">
      <c r="G974" s="5"/>
      <c r="H974" s="5"/>
    </row>
    <row r="975" customFormat="1" spans="7:8">
      <c r="G975" s="5"/>
      <c r="H975" s="5"/>
    </row>
    <row r="976" customFormat="1" spans="7:8">
      <c r="G976" s="5"/>
      <c r="H976" s="5"/>
    </row>
    <row r="977" customFormat="1" spans="7:8">
      <c r="G977" s="5"/>
      <c r="H977" s="5"/>
    </row>
    <row r="978" customFormat="1" spans="7:8">
      <c r="G978" s="5"/>
      <c r="H978" s="5"/>
    </row>
    <row r="979" customFormat="1" spans="7:8">
      <c r="G979" s="5"/>
      <c r="H979" s="5"/>
    </row>
    <row r="980" customFormat="1" spans="7:8">
      <c r="G980" s="5"/>
      <c r="H980" s="5"/>
    </row>
    <row r="981" customFormat="1" spans="7:8">
      <c r="G981" s="5"/>
      <c r="H981" s="5"/>
    </row>
    <row r="982" customFormat="1" spans="7:8">
      <c r="G982" s="5"/>
      <c r="H982" s="5"/>
    </row>
    <row r="983" customFormat="1" spans="7:8">
      <c r="G983" s="5"/>
      <c r="H983" s="5"/>
    </row>
    <row r="984" customFormat="1" spans="7:8">
      <c r="G984" s="5"/>
      <c r="H984" s="5"/>
    </row>
    <row r="985" customFormat="1" spans="7:8">
      <c r="G985" s="5"/>
      <c r="H985" s="5"/>
    </row>
    <row r="986" customFormat="1" spans="7:8">
      <c r="G986" s="5"/>
      <c r="H986" s="5"/>
    </row>
    <row r="987" customFormat="1" spans="7:8">
      <c r="G987" s="5"/>
      <c r="H987" s="5"/>
    </row>
    <row r="988" customFormat="1" spans="7:8">
      <c r="G988" s="5"/>
      <c r="H988" s="5"/>
    </row>
    <row r="989" customFormat="1" spans="7:8">
      <c r="G989" s="5"/>
      <c r="H989" s="5"/>
    </row>
    <row r="990" customFormat="1" spans="7:8">
      <c r="G990" s="5"/>
      <c r="H990" s="5"/>
    </row>
    <row r="991" customFormat="1" spans="7:8">
      <c r="G991" s="5"/>
      <c r="H991" s="5"/>
    </row>
    <row r="992" customFormat="1" spans="7:8">
      <c r="G992" s="5"/>
      <c r="H992" s="5"/>
    </row>
    <row r="993" customFormat="1" spans="7:8">
      <c r="G993" s="5"/>
      <c r="H993" s="5"/>
    </row>
    <row r="994" customFormat="1" spans="7:8">
      <c r="G994" s="5"/>
      <c r="H994" s="5"/>
    </row>
    <row r="995" customFormat="1" spans="7:8">
      <c r="G995" s="5"/>
      <c r="H995" s="5"/>
    </row>
    <row r="996" customFormat="1" spans="7:8">
      <c r="G996" s="5"/>
      <c r="H996" s="5"/>
    </row>
    <row r="997" customFormat="1" spans="7:8">
      <c r="G997" s="5"/>
      <c r="H997" s="5"/>
    </row>
    <row r="998" customFormat="1" spans="7:8">
      <c r="G998" s="5"/>
      <c r="H998" s="5"/>
    </row>
    <row r="999" customFormat="1" spans="7:8">
      <c r="G999" s="5"/>
      <c r="H999" s="5"/>
    </row>
    <row r="1000" customFormat="1" spans="7:8">
      <c r="G1000" s="5"/>
      <c r="H1000" s="5"/>
    </row>
    <row r="1001" customFormat="1" spans="7:8">
      <c r="G1001" s="5"/>
      <c r="H1001" s="5"/>
    </row>
    <row r="1002" customFormat="1" spans="7:8">
      <c r="G1002" s="5"/>
      <c r="H1002" s="5"/>
    </row>
    <row r="1003" customFormat="1" spans="7:8">
      <c r="G1003" s="5"/>
      <c r="H1003" s="5"/>
    </row>
    <row r="1004" customFormat="1" spans="7:8">
      <c r="G1004" s="5"/>
      <c r="H1004" s="5"/>
    </row>
    <row r="1005" customFormat="1" spans="7:8">
      <c r="G1005" s="5"/>
      <c r="H1005" s="5"/>
    </row>
    <row r="1006" customFormat="1" spans="7:8">
      <c r="G1006" s="5"/>
      <c r="H1006" s="5"/>
    </row>
    <row r="1007" customFormat="1" spans="7:8">
      <c r="G1007" s="5"/>
      <c r="H1007" s="5"/>
    </row>
    <row r="1008" customFormat="1" spans="7:8">
      <c r="G1008" s="5"/>
      <c r="H1008" s="5"/>
    </row>
    <row r="1009" customFormat="1" spans="7:8">
      <c r="G1009" s="5"/>
      <c r="H1009" s="5"/>
    </row>
    <row r="1010" customFormat="1" spans="7:8">
      <c r="G1010" s="5"/>
      <c r="H1010" s="5"/>
    </row>
    <row r="1011" customFormat="1" spans="7:8">
      <c r="G1011" s="5"/>
      <c r="H1011" s="5"/>
    </row>
    <row r="1012" customFormat="1" spans="7:8">
      <c r="G1012" s="5"/>
      <c r="H1012" s="5"/>
    </row>
    <row r="1013" customFormat="1" spans="7:8">
      <c r="G1013" s="5"/>
      <c r="H1013" s="5"/>
    </row>
    <row r="1014" customFormat="1" spans="7:8">
      <c r="G1014" s="5"/>
      <c r="H1014" s="5"/>
    </row>
    <row r="1015" customFormat="1" spans="7:8">
      <c r="G1015" s="5"/>
      <c r="H1015" s="5"/>
    </row>
    <row r="1016" customFormat="1" spans="7:8">
      <c r="G1016" s="5"/>
      <c r="H1016" s="5"/>
    </row>
    <row r="1017" customFormat="1" spans="7:8">
      <c r="G1017" s="5"/>
      <c r="H1017" s="5"/>
    </row>
    <row r="1018" customFormat="1" spans="7:8">
      <c r="G1018" s="5"/>
      <c r="H1018" s="5"/>
    </row>
    <row r="1019" customFormat="1" spans="7:8">
      <c r="G1019" s="5"/>
      <c r="H1019" s="5"/>
    </row>
    <row r="1020" customFormat="1" spans="7:8">
      <c r="G1020" s="5"/>
      <c r="H1020" s="5"/>
    </row>
    <row r="1021" customFormat="1" spans="7:8">
      <c r="G1021" s="5"/>
      <c r="H1021" s="5"/>
    </row>
    <row r="1022" customFormat="1" spans="7:8">
      <c r="G1022" s="5"/>
      <c r="H1022" s="5"/>
    </row>
    <row r="1023" customFormat="1" spans="7:8">
      <c r="G1023" s="5"/>
      <c r="H1023" s="5"/>
    </row>
    <row r="1024" customFormat="1" spans="7:8">
      <c r="G1024" s="5"/>
      <c r="H1024" s="5"/>
    </row>
    <row r="1025" customFormat="1" spans="7:8">
      <c r="G1025" s="5"/>
      <c r="H1025" s="5"/>
    </row>
    <row r="1026" customFormat="1" spans="7:8">
      <c r="G1026" s="5"/>
      <c r="H1026" s="5"/>
    </row>
    <row r="1027" customFormat="1" spans="7:8">
      <c r="G1027" s="5"/>
      <c r="H1027" s="5"/>
    </row>
    <row r="1028" customFormat="1" spans="7:8">
      <c r="G1028" s="5"/>
      <c r="H1028" s="5"/>
    </row>
    <row r="1029" customFormat="1" spans="7:8">
      <c r="G1029" s="5"/>
      <c r="H1029" s="5"/>
    </row>
    <row r="1030" customFormat="1" spans="7:8">
      <c r="G1030" s="5"/>
      <c r="H1030" s="5"/>
    </row>
    <row r="1031" customFormat="1" spans="7:8">
      <c r="G1031" s="5"/>
      <c r="H1031" s="5"/>
    </row>
    <row r="1032" customFormat="1" spans="7:8">
      <c r="G1032" s="5"/>
      <c r="H1032" s="5"/>
    </row>
    <row r="1033" customFormat="1" spans="7:8">
      <c r="G1033" s="5"/>
      <c r="H1033" s="5"/>
    </row>
    <row r="1034" customFormat="1" spans="7:8">
      <c r="G1034" s="5"/>
      <c r="H1034" s="5"/>
    </row>
    <row r="1035" customFormat="1" spans="7:8">
      <c r="G1035" s="5"/>
      <c r="H1035" s="5"/>
    </row>
    <row r="1036" customFormat="1" spans="7:8">
      <c r="G1036" s="5"/>
      <c r="H1036" s="5"/>
    </row>
    <row r="1037" customFormat="1" spans="7:8">
      <c r="G1037" s="5"/>
      <c r="H1037" s="5"/>
    </row>
    <row r="1038" customFormat="1" spans="7:8">
      <c r="G1038" s="5"/>
      <c r="H1038" s="5"/>
    </row>
    <row r="1039" customFormat="1" spans="7:8">
      <c r="G1039" s="5"/>
      <c r="H1039" s="5"/>
    </row>
    <row r="1040" customFormat="1" spans="7:8">
      <c r="G1040" s="5"/>
      <c r="H1040" s="5"/>
    </row>
    <row r="1041" customFormat="1" spans="7:8">
      <c r="G1041" s="5"/>
      <c r="H1041" s="5"/>
    </row>
    <row r="1042" customFormat="1" spans="7:8">
      <c r="G1042" s="5"/>
      <c r="H1042" s="5"/>
    </row>
    <row r="1043" customFormat="1" spans="7:8">
      <c r="G1043" s="5"/>
      <c r="H1043" s="5"/>
    </row>
    <row r="1044" customFormat="1" spans="7:8">
      <c r="G1044" s="5"/>
      <c r="H1044" s="5"/>
    </row>
    <row r="1045" customFormat="1" spans="7:8">
      <c r="G1045" s="5"/>
      <c r="H1045" s="5"/>
    </row>
    <row r="1046" customFormat="1" spans="7:8">
      <c r="G1046" s="5"/>
      <c r="H1046" s="5"/>
    </row>
    <row r="1047" customFormat="1" spans="7:8">
      <c r="G1047" s="5"/>
      <c r="H1047" s="5"/>
    </row>
    <row r="1048" customFormat="1" spans="7:8">
      <c r="G1048" s="5"/>
      <c r="H1048" s="5"/>
    </row>
    <row r="1049" customFormat="1" spans="7:8">
      <c r="G1049" s="5"/>
      <c r="H1049" s="5"/>
    </row>
    <row r="1050" customFormat="1" spans="7:8">
      <c r="G1050" s="5"/>
      <c r="H1050" s="5"/>
    </row>
    <row r="1051" customFormat="1" spans="7:8">
      <c r="G1051" s="5"/>
      <c r="H1051" s="5"/>
    </row>
    <row r="1052" customFormat="1" spans="7:8">
      <c r="G1052" s="5"/>
      <c r="H1052" s="5"/>
    </row>
    <row r="1053" customFormat="1" spans="7:8">
      <c r="G1053" s="5"/>
      <c r="H1053" s="5"/>
    </row>
    <row r="1054" customFormat="1" spans="7:8">
      <c r="G1054" s="5"/>
      <c r="H1054" s="5"/>
    </row>
    <row r="1055" customFormat="1" spans="7:8">
      <c r="G1055" s="5"/>
      <c r="H1055" s="5"/>
    </row>
    <row r="1056" customFormat="1" spans="7:8">
      <c r="G1056" s="5"/>
      <c r="H1056" s="5"/>
    </row>
    <row r="1057" customFormat="1" spans="7:8">
      <c r="G1057" s="5"/>
      <c r="H1057" s="5"/>
    </row>
    <row r="1058" customFormat="1" spans="7:8">
      <c r="G1058" s="5"/>
      <c r="H1058" s="5"/>
    </row>
    <row r="1059" customFormat="1" spans="7:8">
      <c r="G1059" s="5"/>
      <c r="H1059" s="5"/>
    </row>
    <row r="1060" customFormat="1" spans="7:8">
      <c r="G1060" s="5"/>
      <c r="H1060" s="5"/>
    </row>
    <row r="1061" customFormat="1" spans="7:8">
      <c r="G1061" s="5"/>
      <c r="H1061" s="5"/>
    </row>
    <row r="1062" customFormat="1" spans="7:8">
      <c r="G1062" s="5"/>
      <c r="H1062" s="5"/>
    </row>
    <row r="1063" customFormat="1" spans="7:8">
      <c r="G1063" s="5"/>
      <c r="H1063" s="5"/>
    </row>
    <row r="1064" customFormat="1" spans="7:8">
      <c r="G1064" s="5"/>
      <c r="H1064" s="5"/>
    </row>
    <row r="1065" customFormat="1" spans="7:8">
      <c r="G1065" s="5"/>
      <c r="H1065" s="5"/>
    </row>
    <row r="1066" customFormat="1" spans="7:8">
      <c r="G1066" s="5"/>
      <c r="H1066" s="5"/>
    </row>
    <row r="1067" customFormat="1" spans="7:8">
      <c r="G1067" s="5"/>
      <c r="H1067" s="5"/>
    </row>
    <row r="1068" customFormat="1" spans="7:8">
      <c r="G1068" s="5"/>
      <c r="H1068" s="5"/>
    </row>
    <row r="1069" customFormat="1" spans="7:8">
      <c r="G1069" s="5"/>
      <c r="H1069" s="5"/>
    </row>
    <row r="1070" customFormat="1" spans="7:8">
      <c r="G1070" s="5"/>
      <c r="H1070" s="5"/>
    </row>
    <row r="1071" customFormat="1" spans="7:8">
      <c r="G1071" s="5"/>
      <c r="H1071" s="5"/>
    </row>
    <row r="1072" customFormat="1" spans="7:8">
      <c r="G1072" s="5"/>
      <c r="H1072" s="5"/>
    </row>
    <row r="1073" customFormat="1" spans="7:8">
      <c r="G1073" s="5"/>
      <c r="H1073" s="5"/>
    </row>
    <row r="1074" customFormat="1" spans="7:8">
      <c r="G1074" s="5"/>
      <c r="H1074" s="5"/>
    </row>
    <row r="1075" customFormat="1" spans="7:8">
      <c r="G1075" s="5"/>
      <c r="H1075" s="5"/>
    </row>
    <row r="1076" customFormat="1" spans="7:8">
      <c r="G1076" s="5"/>
      <c r="H1076" s="5"/>
    </row>
    <row r="1077" customFormat="1" spans="7:8">
      <c r="G1077" s="5"/>
      <c r="H1077" s="5"/>
    </row>
    <row r="1078" customFormat="1" spans="7:8">
      <c r="G1078" s="5"/>
      <c r="H1078" s="5"/>
    </row>
    <row r="1079" customFormat="1" spans="7:8">
      <c r="G1079" s="5"/>
      <c r="H1079" s="5"/>
    </row>
    <row r="1080" customFormat="1" spans="7:8">
      <c r="G1080" s="5"/>
      <c r="H1080" s="5"/>
    </row>
    <row r="1081" customFormat="1" spans="7:8">
      <c r="G1081" s="5"/>
      <c r="H1081" s="5"/>
    </row>
    <row r="1082" customFormat="1" spans="7:8">
      <c r="G1082" s="5"/>
      <c r="H1082" s="5"/>
    </row>
    <row r="1083" customFormat="1" spans="7:8">
      <c r="G1083" s="5"/>
      <c r="H1083" s="5"/>
    </row>
    <row r="1084" customFormat="1" spans="7:8">
      <c r="G1084" s="5"/>
      <c r="H1084" s="5"/>
    </row>
    <row r="1085" customFormat="1" spans="7:8">
      <c r="G1085" s="5"/>
      <c r="H1085" s="5"/>
    </row>
    <row r="1086" customFormat="1" spans="7:8">
      <c r="G1086" s="5"/>
      <c r="H1086" s="5"/>
    </row>
    <row r="1087" customFormat="1" spans="7:8">
      <c r="G1087" s="5"/>
      <c r="H1087" s="5"/>
    </row>
    <row r="1088" customFormat="1" spans="7:8">
      <c r="G1088" s="5"/>
      <c r="H1088" s="5"/>
    </row>
    <row r="1089" customFormat="1" spans="7:8">
      <c r="G1089" s="5"/>
      <c r="H1089" s="5"/>
    </row>
    <row r="1090" customFormat="1" spans="7:8">
      <c r="G1090" s="5"/>
      <c r="H1090" s="5"/>
    </row>
    <row r="1091" customFormat="1" spans="7:8">
      <c r="G1091" s="5"/>
      <c r="H1091" s="5"/>
    </row>
    <row r="1092" customFormat="1" spans="7:8">
      <c r="G1092" s="5"/>
      <c r="H1092" s="5"/>
    </row>
    <row r="1093" customFormat="1" spans="7:8">
      <c r="G1093" s="5"/>
      <c r="H1093" s="5"/>
    </row>
    <row r="1094" customFormat="1" spans="7:8">
      <c r="G1094" s="5"/>
      <c r="H1094" s="5"/>
    </row>
    <row r="1095" customFormat="1" spans="7:8">
      <c r="G1095" s="5"/>
      <c r="H1095" s="5"/>
    </row>
    <row r="1096" customFormat="1" spans="7:8">
      <c r="G1096" s="5"/>
      <c r="H1096" s="5"/>
    </row>
    <row r="1097" customFormat="1" spans="7:8">
      <c r="G1097" s="5"/>
      <c r="H1097" s="5"/>
    </row>
    <row r="1098" customFormat="1" spans="7:8">
      <c r="G1098" s="5"/>
      <c r="H1098" s="5"/>
    </row>
    <row r="1099" customFormat="1" spans="7:8">
      <c r="G1099" s="5"/>
      <c r="H1099" s="5"/>
    </row>
    <row r="1100" customFormat="1" spans="7:8">
      <c r="G1100" s="5"/>
      <c r="H1100" s="5"/>
    </row>
    <row r="1101" customFormat="1" spans="7:8">
      <c r="G1101" s="5"/>
      <c r="H1101" s="5"/>
    </row>
    <row r="1102" customFormat="1" spans="7:8">
      <c r="G1102" s="5"/>
      <c r="H1102" s="5"/>
    </row>
    <row r="1103" customFormat="1" spans="7:8">
      <c r="G1103" s="5"/>
      <c r="H1103" s="5"/>
    </row>
    <row r="1104" customFormat="1" spans="7:8">
      <c r="G1104" s="5"/>
      <c r="H1104" s="5"/>
    </row>
    <row r="1105" customFormat="1" spans="7:8">
      <c r="G1105" s="5"/>
      <c r="H1105" s="5"/>
    </row>
    <row r="1106" customFormat="1" spans="7:8">
      <c r="G1106" s="5"/>
      <c r="H1106" s="5"/>
    </row>
    <row r="1107" customFormat="1" spans="7:8">
      <c r="G1107" s="5"/>
      <c r="H1107" s="5"/>
    </row>
    <row r="1108" customFormat="1" spans="7:8">
      <c r="G1108" s="5"/>
      <c r="H1108" s="5"/>
    </row>
    <row r="1109" customFormat="1" spans="7:8">
      <c r="G1109" s="5"/>
      <c r="H1109" s="5"/>
    </row>
    <row r="1110" customFormat="1" spans="7:8">
      <c r="G1110" s="5"/>
      <c r="H1110" s="5"/>
    </row>
    <row r="1111" customFormat="1" spans="7:8">
      <c r="G1111" s="5"/>
      <c r="H1111" s="5"/>
    </row>
    <row r="1112" customFormat="1" spans="7:8">
      <c r="G1112" s="5"/>
      <c r="H1112" s="5"/>
    </row>
    <row r="1113" customFormat="1" spans="7:8">
      <c r="G1113" s="5"/>
      <c r="H1113" s="5"/>
    </row>
    <row r="1114" customFormat="1" spans="7:8">
      <c r="G1114" s="5"/>
      <c r="H1114" s="5"/>
    </row>
    <row r="1115" customFormat="1" spans="7:8">
      <c r="G1115" s="5"/>
      <c r="H1115" s="5"/>
    </row>
    <row r="1116" customFormat="1" spans="7:8">
      <c r="G1116" s="5"/>
      <c r="H1116" s="5"/>
    </row>
    <row r="1117" customFormat="1" spans="7:8">
      <c r="G1117" s="5"/>
      <c r="H1117" s="5"/>
    </row>
    <row r="1118" customFormat="1" spans="7:8">
      <c r="G1118" s="5"/>
      <c r="H1118" s="5"/>
    </row>
    <row r="1119" customFormat="1" spans="7:8">
      <c r="G1119" s="5"/>
      <c r="H1119" s="5"/>
    </row>
    <row r="1120" customFormat="1" spans="7:8">
      <c r="G1120" s="5"/>
      <c r="H1120" s="5"/>
    </row>
    <row r="1121" customFormat="1" spans="7:8">
      <c r="G1121" s="5"/>
      <c r="H1121" s="5"/>
    </row>
    <row r="1122" customFormat="1" spans="7:8">
      <c r="G1122" s="5"/>
      <c r="H1122" s="5"/>
    </row>
    <row r="1123" customFormat="1" spans="7:8">
      <c r="G1123" s="5"/>
      <c r="H1123" s="5"/>
    </row>
    <row r="1124" customFormat="1" spans="7:8">
      <c r="G1124" s="5"/>
      <c r="H1124" s="5"/>
    </row>
    <row r="1125" customFormat="1" spans="7:8">
      <c r="G1125" s="5"/>
      <c r="H1125" s="5"/>
    </row>
    <row r="1126" customFormat="1" spans="7:8">
      <c r="G1126" s="5"/>
      <c r="H1126" s="5"/>
    </row>
    <row r="1127" customFormat="1" spans="7:8">
      <c r="G1127" s="5"/>
      <c r="H1127" s="5"/>
    </row>
    <row r="1128" customFormat="1" spans="7:8">
      <c r="G1128" s="5"/>
      <c r="H1128" s="5"/>
    </row>
    <row r="1129" customFormat="1" spans="7:8">
      <c r="G1129" s="5"/>
      <c r="H1129" s="5"/>
    </row>
    <row r="1130" customFormat="1" spans="7:8">
      <c r="G1130" s="5"/>
      <c r="H1130" s="5"/>
    </row>
    <row r="1131" customFormat="1" spans="7:8">
      <c r="G1131" s="5"/>
      <c r="H1131" s="5"/>
    </row>
    <row r="1132" customFormat="1" spans="7:8">
      <c r="G1132" s="5"/>
      <c r="H1132" s="5"/>
    </row>
    <row r="1133" customFormat="1" spans="7:8">
      <c r="G1133" s="5"/>
      <c r="H1133" s="5"/>
    </row>
    <row r="1134" customFormat="1" spans="7:8">
      <c r="G1134" s="5"/>
      <c r="H1134" s="5"/>
    </row>
    <row r="1135" customFormat="1" spans="7:8">
      <c r="G1135" s="5"/>
      <c r="H1135" s="5"/>
    </row>
    <row r="1136" customFormat="1" spans="7:8">
      <c r="G1136" s="5"/>
      <c r="H1136" s="5"/>
    </row>
    <row r="1137" customFormat="1" spans="7:8">
      <c r="G1137" s="5"/>
      <c r="H1137" s="5"/>
    </row>
    <row r="1138" customFormat="1" spans="7:8">
      <c r="G1138" s="5"/>
      <c r="H1138" s="5"/>
    </row>
    <row r="1139" customFormat="1" spans="7:8">
      <c r="G1139" s="5"/>
      <c r="H1139" s="5"/>
    </row>
    <row r="1140" customFormat="1" spans="7:8">
      <c r="G1140" s="5"/>
      <c r="H1140" s="5"/>
    </row>
    <row r="1141" customFormat="1" spans="7:8">
      <c r="G1141" s="5"/>
      <c r="H1141" s="5"/>
    </row>
    <row r="1142" customFormat="1" spans="7:8">
      <c r="G1142" s="5"/>
      <c r="H1142" s="5"/>
    </row>
    <row r="1143" customFormat="1" spans="7:8">
      <c r="G1143" s="5"/>
      <c r="H1143" s="5"/>
    </row>
    <row r="1144" customFormat="1" spans="7:8">
      <c r="G1144" s="5"/>
      <c r="H1144" s="5"/>
    </row>
    <row r="1145" customFormat="1" spans="7:8">
      <c r="G1145" s="5"/>
      <c r="H1145" s="5"/>
    </row>
    <row r="1146" customFormat="1" spans="7:8">
      <c r="G1146" s="5"/>
      <c r="H1146" s="5"/>
    </row>
    <row r="1147" customFormat="1" spans="7:8">
      <c r="G1147" s="5"/>
      <c r="H1147" s="5"/>
    </row>
    <row r="1148" customFormat="1" spans="7:8">
      <c r="G1148" s="5"/>
      <c r="H1148" s="5"/>
    </row>
    <row r="1149" customFormat="1" spans="7:8">
      <c r="G1149" s="5"/>
      <c r="H1149" s="5"/>
    </row>
    <row r="1150" customFormat="1" spans="7:8">
      <c r="G1150" s="5"/>
      <c r="H1150" s="5"/>
    </row>
    <row r="1151" customFormat="1" spans="7:8">
      <c r="G1151" s="5"/>
      <c r="H1151" s="5"/>
    </row>
    <row r="1152" customFormat="1" spans="7:8">
      <c r="G1152" s="5"/>
      <c r="H1152" s="5"/>
    </row>
    <row r="1153" customFormat="1" spans="7:8">
      <c r="G1153" s="5"/>
      <c r="H1153" s="5"/>
    </row>
    <row r="1154" customFormat="1" spans="7:8">
      <c r="G1154" s="5"/>
      <c r="H1154" s="5"/>
    </row>
    <row r="1155" customFormat="1" spans="7:8">
      <c r="G1155" s="5"/>
      <c r="H1155" s="5"/>
    </row>
    <row r="1156" customFormat="1" spans="7:8">
      <c r="G1156" s="5"/>
      <c r="H1156" s="5"/>
    </row>
    <row r="1157" customFormat="1" spans="7:8">
      <c r="G1157" s="5"/>
      <c r="H1157" s="5"/>
    </row>
    <row r="1158" customFormat="1" spans="7:8">
      <c r="G1158" s="5"/>
      <c r="H1158" s="5"/>
    </row>
    <row r="1159" customFormat="1" spans="7:8">
      <c r="G1159" s="5"/>
      <c r="H1159" s="5"/>
    </row>
    <row r="1160" customFormat="1" spans="7:8">
      <c r="G1160" s="5"/>
      <c r="H1160" s="5"/>
    </row>
    <row r="1161" customFormat="1" spans="7:8">
      <c r="G1161" s="5"/>
      <c r="H1161" s="5"/>
    </row>
    <row r="1162" customFormat="1" spans="7:8">
      <c r="G1162" s="5"/>
      <c r="H1162" s="5"/>
    </row>
    <row r="1163" customFormat="1" spans="7:8">
      <c r="G1163" s="5"/>
      <c r="H1163" s="5"/>
    </row>
    <row r="1164" customFormat="1" spans="7:8">
      <c r="G1164" s="5"/>
      <c r="H1164" s="5"/>
    </row>
    <row r="1165" customFormat="1" spans="7:8">
      <c r="G1165" s="5"/>
      <c r="H1165" s="5"/>
    </row>
    <row r="1166" customFormat="1" spans="7:8">
      <c r="G1166" s="5"/>
      <c r="H1166" s="5"/>
    </row>
    <row r="1167" customFormat="1" spans="7:8">
      <c r="G1167" s="5"/>
      <c r="H1167" s="5"/>
    </row>
    <row r="1168" customFormat="1" spans="7:8">
      <c r="G1168" s="5"/>
      <c r="H1168" s="5"/>
    </row>
    <row r="1169" customFormat="1" spans="7:8">
      <c r="G1169" s="5"/>
      <c r="H1169" s="5"/>
    </row>
    <row r="1170" customFormat="1" spans="7:8">
      <c r="G1170" s="5"/>
      <c r="H1170" s="5"/>
    </row>
    <row r="1171" customFormat="1" spans="7:8">
      <c r="G1171" s="5"/>
      <c r="H1171" s="5"/>
    </row>
    <row r="1172" customFormat="1" spans="7:8">
      <c r="G1172" s="5"/>
      <c r="H1172" s="5"/>
    </row>
    <row r="1173" customFormat="1" spans="7:8">
      <c r="G1173" s="5"/>
      <c r="H1173" s="5"/>
    </row>
    <row r="1174" customFormat="1" spans="7:8">
      <c r="G1174" s="5"/>
      <c r="H1174" s="5"/>
    </row>
    <row r="1175" customFormat="1" spans="7:8">
      <c r="G1175" s="5"/>
      <c r="H1175" s="5"/>
    </row>
    <row r="1176" customFormat="1" spans="7:8">
      <c r="G1176" s="5"/>
      <c r="H1176" s="5"/>
    </row>
    <row r="1177" customFormat="1" spans="7:8">
      <c r="G1177" s="5"/>
      <c r="H1177" s="5"/>
    </row>
    <row r="1178" customFormat="1" spans="7:8">
      <c r="G1178" s="5"/>
      <c r="H1178" s="5"/>
    </row>
    <row r="1179" customFormat="1" spans="7:8">
      <c r="G1179" s="5"/>
      <c r="H1179" s="5"/>
    </row>
    <row r="1180" customFormat="1" spans="7:8">
      <c r="G1180" s="5"/>
      <c r="H1180" s="5"/>
    </row>
    <row r="1181" customFormat="1" spans="7:8">
      <c r="G1181" s="5"/>
      <c r="H1181" s="5"/>
    </row>
    <row r="1182" customFormat="1" spans="7:8">
      <c r="G1182" s="5"/>
      <c r="H1182" s="5"/>
    </row>
    <row r="1183" customFormat="1" spans="7:8">
      <c r="G1183" s="5"/>
      <c r="H1183" s="5"/>
    </row>
    <row r="1184" customFormat="1" spans="7:8">
      <c r="G1184" s="5"/>
      <c r="H1184" s="5"/>
    </row>
    <row r="1185" customFormat="1" spans="7:8">
      <c r="G1185" s="5"/>
      <c r="H1185" s="5"/>
    </row>
    <row r="1186" customFormat="1" spans="7:8">
      <c r="G1186" s="5"/>
      <c r="H1186" s="5"/>
    </row>
    <row r="1187" customFormat="1" spans="7:8">
      <c r="G1187" s="5"/>
      <c r="H1187" s="5"/>
    </row>
    <row r="1188" customFormat="1" spans="7:8">
      <c r="G1188" s="5"/>
      <c r="H1188" s="5"/>
    </row>
    <row r="1189" customFormat="1" spans="7:8">
      <c r="G1189" s="5"/>
      <c r="H1189" s="5"/>
    </row>
    <row r="1190" customFormat="1" spans="7:8">
      <c r="G1190" s="5"/>
      <c r="H1190" s="5"/>
    </row>
    <row r="1191" customFormat="1" spans="7:8">
      <c r="G1191" s="5"/>
      <c r="H1191" s="5"/>
    </row>
    <row r="1192" customFormat="1" spans="7:8">
      <c r="G1192" s="5"/>
      <c r="H1192" s="5"/>
    </row>
    <row r="1193" customFormat="1" spans="7:8">
      <c r="G1193" s="5"/>
      <c r="H1193" s="5"/>
    </row>
    <row r="1194" customFormat="1" spans="7:8">
      <c r="G1194" s="5"/>
      <c r="H1194" s="5"/>
    </row>
    <row r="1195" customFormat="1" spans="7:8">
      <c r="G1195" s="5"/>
      <c r="H1195" s="5"/>
    </row>
    <row r="1196" customFormat="1" spans="7:8">
      <c r="G1196" s="5"/>
      <c r="H1196" s="5"/>
    </row>
    <row r="1197" customFormat="1" spans="7:8">
      <c r="G1197" s="5"/>
      <c r="H1197" s="5"/>
    </row>
    <row r="1198" customFormat="1" spans="7:8">
      <c r="G1198" s="5"/>
      <c r="H1198" s="5"/>
    </row>
    <row r="1199" customFormat="1" spans="7:8">
      <c r="G1199" s="5"/>
      <c r="H1199" s="5"/>
    </row>
    <row r="1200" customFormat="1" spans="7:8">
      <c r="G1200" s="5"/>
      <c r="H1200" s="5"/>
    </row>
    <row r="1201" customFormat="1" spans="7:8">
      <c r="G1201" s="5"/>
      <c r="H1201" s="5"/>
    </row>
    <row r="1202" customFormat="1" spans="7:8">
      <c r="G1202" s="5"/>
      <c r="H1202" s="5"/>
    </row>
    <row r="1203" customFormat="1" spans="7:8">
      <c r="G1203" s="5"/>
      <c r="H1203" s="5"/>
    </row>
    <row r="1204" customFormat="1" spans="7:8">
      <c r="G1204" s="5"/>
      <c r="H1204" s="5"/>
    </row>
    <row r="1205" customFormat="1" spans="7:8">
      <c r="G1205" s="5"/>
      <c r="H1205" s="5"/>
    </row>
    <row r="1206" customFormat="1" spans="7:8">
      <c r="G1206" s="5"/>
      <c r="H1206" s="5"/>
    </row>
    <row r="1207" customFormat="1" spans="7:8">
      <c r="G1207" s="5"/>
      <c r="H1207" s="5"/>
    </row>
    <row r="1208" customFormat="1" spans="7:8">
      <c r="G1208" s="5"/>
      <c r="H1208" s="5"/>
    </row>
    <row r="1209" customFormat="1" spans="7:8">
      <c r="G1209" s="5"/>
      <c r="H1209" s="5"/>
    </row>
    <row r="1210" customFormat="1" spans="7:8">
      <c r="G1210" s="5"/>
      <c r="H1210" s="5"/>
    </row>
    <row r="1211" customFormat="1" spans="7:8">
      <c r="G1211" s="5"/>
      <c r="H1211" s="5"/>
    </row>
    <row r="1212" customFormat="1" spans="7:8">
      <c r="G1212" s="5"/>
      <c r="H1212" s="5"/>
    </row>
    <row r="1213" customFormat="1" spans="7:8">
      <c r="G1213" s="5"/>
      <c r="H1213" s="5"/>
    </row>
    <row r="1214" customFormat="1" spans="7:8">
      <c r="G1214" s="5"/>
      <c r="H1214" s="5"/>
    </row>
    <row r="1215" customFormat="1" spans="7:8">
      <c r="G1215" s="5"/>
      <c r="H1215" s="5"/>
    </row>
    <row r="1216" customFormat="1" spans="7:8">
      <c r="G1216" s="5"/>
      <c r="H1216" s="5"/>
    </row>
    <row r="1217" customFormat="1" spans="7:8">
      <c r="G1217" s="5"/>
      <c r="H1217" s="5"/>
    </row>
    <row r="1218" customFormat="1" spans="7:8">
      <c r="G1218" s="5"/>
      <c r="H1218" s="5"/>
    </row>
    <row r="1219" customFormat="1" spans="7:8">
      <c r="G1219" s="5"/>
      <c r="H1219" s="5"/>
    </row>
    <row r="1220" customFormat="1" spans="7:8">
      <c r="G1220" s="5"/>
      <c r="H1220" s="5"/>
    </row>
    <row r="1221" customFormat="1" spans="7:8">
      <c r="G1221" s="5"/>
      <c r="H1221" s="5"/>
    </row>
    <row r="1222" customFormat="1" spans="7:8">
      <c r="G1222" s="5"/>
      <c r="H1222" s="5"/>
    </row>
    <row r="1223" customFormat="1" spans="7:8">
      <c r="G1223" s="5"/>
      <c r="H1223" s="5"/>
    </row>
    <row r="1224" customFormat="1" spans="7:8">
      <c r="G1224" s="5"/>
      <c r="H1224" s="5"/>
    </row>
    <row r="1225" customFormat="1" spans="7:8">
      <c r="G1225" s="5"/>
      <c r="H1225" s="5"/>
    </row>
    <row r="1226" customFormat="1" spans="7:8">
      <c r="G1226" s="5"/>
      <c r="H1226" s="5"/>
    </row>
    <row r="1227" customFormat="1" spans="7:8">
      <c r="G1227" s="5"/>
      <c r="H1227" s="5"/>
    </row>
    <row r="1228" customFormat="1" spans="7:8">
      <c r="G1228" s="5"/>
      <c r="H1228" s="5"/>
    </row>
    <row r="1229" customFormat="1" spans="7:8">
      <c r="G1229" s="5"/>
      <c r="H1229" s="5"/>
    </row>
    <row r="1230" customFormat="1" spans="7:8">
      <c r="G1230" s="5"/>
      <c r="H1230" s="5"/>
    </row>
    <row r="1231" customFormat="1" spans="7:8">
      <c r="G1231" s="5"/>
      <c r="H1231" s="5"/>
    </row>
    <row r="1232" customFormat="1" spans="7:8">
      <c r="G1232" s="5"/>
      <c r="H1232" s="5"/>
    </row>
    <row r="1233" customFormat="1" spans="7:8">
      <c r="G1233" s="5"/>
      <c r="H1233" s="5"/>
    </row>
    <row r="1234" customFormat="1" spans="7:8">
      <c r="G1234" s="5"/>
      <c r="H1234" s="5"/>
    </row>
    <row r="1235" customFormat="1" spans="7:8">
      <c r="G1235" s="5"/>
      <c r="H1235" s="5"/>
    </row>
    <row r="1236" customFormat="1" spans="7:8">
      <c r="G1236" s="5"/>
      <c r="H1236" s="5"/>
    </row>
    <row r="1237" customFormat="1" spans="7:8">
      <c r="G1237" s="5"/>
      <c r="H1237" s="5"/>
    </row>
    <row r="1238" customFormat="1" spans="7:8">
      <c r="G1238" s="5"/>
      <c r="H1238" s="5"/>
    </row>
    <row r="1239" customFormat="1" spans="7:8">
      <c r="G1239" s="5"/>
      <c r="H1239" s="5"/>
    </row>
    <row r="1240" customFormat="1" spans="7:8">
      <c r="G1240" s="5"/>
      <c r="H1240" s="5"/>
    </row>
    <row r="1241" customFormat="1" spans="7:8">
      <c r="G1241" s="5"/>
      <c r="H1241" s="5"/>
    </row>
    <row r="1242" customFormat="1" spans="7:8">
      <c r="G1242" s="5"/>
      <c r="H1242" s="5"/>
    </row>
    <row r="1243" customFormat="1" spans="7:8">
      <c r="G1243" s="5"/>
      <c r="H1243" s="5"/>
    </row>
    <row r="1244" customFormat="1" spans="7:8">
      <c r="G1244" s="5"/>
      <c r="H1244" s="5"/>
    </row>
    <row r="1245" customFormat="1" spans="7:8">
      <c r="G1245" s="5"/>
      <c r="H1245" s="5"/>
    </row>
    <row r="1246" customFormat="1" spans="7:8">
      <c r="G1246" s="5"/>
      <c r="H1246" s="5"/>
    </row>
    <row r="1247" customFormat="1" spans="7:8">
      <c r="G1247" s="5"/>
      <c r="H1247" s="5"/>
    </row>
    <row r="1248" customFormat="1" spans="7:8">
      <c r="G1248" s="5"/>
      <c r="H1248" s="5"/>
    </row>
    <row r="1249" customFormat="1" spans="7:8">
      <c r="G1249" s="5"/>
      <c r="H1249" s="5"/>
    </row>
    <row r="1250" customFormat="1" spans="7:8">
      <c r="G1250" s="5"/>
      <c r="H1250" s="5"/>
    </row>
    <row r="1251" customFormat="1" spans="7:8">
      <c r="G1251" s="5"/>
      <c r="H1251" s="5"/>
    </row>
    <row r="1252" customFormat="1" spans="7:8">
      <c r="G1252" s="5"/>
      <c r="H1252" s="5"/>
    </row>
    <row r="1253" customFormat="1" spans="7:8">
      <c r="G1253" s="5"/>
      <c r="H1253" s="5"/>
    </row>
    <row r="1254" customFormat="1" spans="7:8">
      <c r="G1254" s="5"/>
      <c r="H1254" s="5"/>
    </row>
    <row r="1255" customFormat="1" spans="7:8">
      <c r="G1255" s="5"/>
      <c r="H1255" s="5"/>
    </row>
    <row r="1256" customFormat="1" spans="7:8">
      <c r="G1256" s="5"/>
      <c r="H1256" s="5"/>
    </row>
    <row r="1257" customFormat="1" spans="7:8">
      <c r="G1257" s="5"/>
      <c r="H1257" s="5"/>
    </row>
    <row r="1258" customFormat="1" spans="7:8">
      <c r="G1258" s="5"/>
      <c r="H1258" s="5"/>
    </row>
    <row r="1259" customFormat="1" spans="7:8">
      <c r="G1259" s="5"/>
      <c r="H1259" s="5"/>
    </row>
    <row r="1260" customFormat="1" spans="7:8">
      <c r="G1260" s="5"/>
      <c r="H1260" s="5"/>
    </row>
    <row r="1261" customFormat="1" spans="7:8">
      <c r="G1261" s="5"/>
      <c r="H1261" s="5"/>
    </row>
    <row r="1262" customFormat="1" spans="7:8">
      <c r="G1262" s="5"/>
      <c r="H1262" s="5"/>
    </row>
    <row r="1263" customFormat="1" spans="7:8">
      <c r="G1263" s="5"/>
      <c r="H1263" s="5"/>
    </row>
    <row r="1264" customFormat="1" spans="7:8">
      <c r="G1264" s="5"/>
      <c r="H1264" s="5"/>
    </row>
    <row r="1265" customFormat="1" spans="7:8">
      <c r="G1265" s="5"/>
      <c r="H1265" s="5"/>
    </row>
    <row r="1266" customFormat="1" spans="7:8">
      <c r="G1266" s="5"/>
      <c r="H1266" s="5"/>
    </row>
    <row r="1267" customFormat="1" spans="7:8">
      <c r="G1267" s="5"/>
      <c r="H1267" s="5"/>
    </row>
    <row r="1268" customFormat="1" spans="7:8">
      <c r="G1268" s="5"/>
      <c r="H1268" s="5"/>
    </row>
    <row r="1269" customFormat="1" spans="7:8">
      <c r="G1269" s="5"/>
      <c r="H1269" s="5"/>
    </row>
    <row r="1270" customFormat="1" spans="7:8">
      <c r="G1270" s="5"/>
      <c r="H1270" s="5"/>
    </row>
    <row r="1271" customFormat="1" spans="7:8">
      <c r="G1271" s="5"/>
      <c r="H1271" s="5"/>
    </row>
    <row r="1272" customFormat="1" spans="7:8">
      <c r="G1272" s="5"/>
      <c r="H1272" s="5"/>
    </row>
    <row r="1273" customFormat="1" spans="7:8">
      <c r="G1273" s="5"/>
      <c r="H1273" s="5"/>
    </row>
    <row r="1274" customFormat="1" spans="7:8">
      <c r="G1274" s="5"/>
      <c r="H1274" s="5"/>
    </row>
    <row r="1275" customFormat="1" spans="7:8">
      <c r="G1275" s="5"/>
      <c r="H1275" s="5"/>
    </row>
    <row r="1276" customFormat="1" spans="7:8">
      <c r="G1276" s="5"/>
      <c r="H1276" s="5"/>
    </row>
    <row r="1277" customFormat="1" spans="7:8">
      <c r="G1277" s="5"/>
      <c r="H1277" s="5"/>
    </row>
    <row r="1278" customFormat="1" spans="7:8">
      <c r="G1278" s="5"/>
      <c r="H1278" s="5"/>
    </row>
    <row r="1279" customFormat="1" spans="7:8">
      <c r="G1279" s="5"/>
      <c r="H1279" s="5"/>
    </row>
    <row r="1280" customFormat="1" spans="7:8">
      <c r="G1280" s="5"/>
      <c r="H1280" s="5"/>
    </row>
    <row r="1281" customFormat="1" spans="7:8">
      <c r="G1281" s="5"/>
      <c r="H1281" s="5"/>
    </row>
    <row r="1282" customFormat="1" spans="7:8">
      <c r="G1282" s="5"/>
      <c r="H1282" s="5"/>
    </row>
    <row r="1283" customFormat="1" spans="7:8">
      <c r="G1283" s="5"/>
      <c r="H1283" s="5"/>
    </row>
    <row r="1284" customFormat="1" spans="7:8">
      <c r="G1284" s="5"/>
      <c r="H1284" s="5"/>
    </row>
    <row r="1285" customFormat="1" spans="7:8">
      <c r="G1285" s="5"/>
      <c r="H1285" s="5"/>
    </row>
    <row r="1286" customFormat="1" spans="7:8">
      <c r="G1286" s="5"/>
      <c r="H1286" s="5"/>
    </row>
    <row r="1287" customFormat="1" spans="7:8">
      <c r="G1287" s="5"/>
      <c r="H1287" s="5"/>
    </row>
    <row r="1288" customFormat="1" spans="7:8">
      <c r="G1288" s="5"/>
      <c r="H1288" s="5"/>
    </row>
    <row r="1289" customFormat="1" spans="7:8">
      <c r="G1289" s="5"/>
      <c r="H1289" s="5"/>
    </row>
    <row r="1290" customFormat="1" spans="7:8">
      <c r="G1290" s="5"/>
      <c r="H1290" s="5"/>
    </row>
    <row r="1291" customFormat="1" spans="7:8">
      <c r="G1291" s="5"/>
      <c r="H1291" s="5"/>
    </row>
    <row r="1292" customFormat="1" spans="7:8">
      <c r="G1292" s="5"/>
      <c r="H1292" s="5"/>
    </row>
    <row r="1293" customFormat="1" spans="7:8">
      <c r="G1293" s="5"/>
      <c r="H1293" s="5"/>
    </row>
    <row r="1294" customFormat="1" spans="7:8">
      <c r="G1294" s="5"/>
      <c r="H1294" s="5"/>
    </row>
    <row r="1295" customFormat="1" spans="7:8">
      <c r="G1295" s="5"/>
      <c r="H1295" s="5"/>
    </row>
    <row r="1296" customFormat="1" spans="7:8">
      <c r="G1296" s="5"/>
      <c r="H1296" s="5"/>
    </row>
    <row r="1297" customFormat="1" spans="7:8">
      <c r="G1297" s="5"/>
      <c r="H1297" s="5"/>
    </row>
    <row r="1298" customFormat="1" spans="7:8">
      <c r="G1298" s="5"/>
      <c r="H1298" s="5"/>
    </row>
    <row r="1299" customFormat="1" spans="7:8">
      <c r="G1299" s="5"/>
      <c r="H1299" s="5"/>
    </row>
    <row r="1300" customFormat="1" spans="7:8">
      <c r="G1300" s="5"/>
      <c r="H1300" s="5"/>
    </row>
    <row r="1301" customFormat="1" spans="7:8">
      <c r="G1301" s="5"/>
      <c r="H1301" s="5"/>
    </row>
    <row r="1302" customFormat="1" spans="7:8">
      <c r="G1302" s="5"/>
      <c r="H1302" s="5"/>
    </row>
    <row r="1303" customFormat="1" spans="7:8">
      <c r="G1303" s="5"/>
      <c r="H1303" s="5"/>
    </row>
    <row r="1304" customFormat="1" spans="7:8">
      <c r="G1304" s="5"/>
      <c r="H1304" s="5"/>
    </row>
    <row r="1305" customFormat="1" spans="7:8">
      <c r="G1305" s="5"/>
      <c r="H1305" s="5"/>
    </row>
    <row r="1306" customFormat="1" spans="7:8">
      <c r="G1306" s="5"/>
      <c r="H1306" s="5"/>
    </row>
    <row r="1307" customFormat="1" spans="7:8">
      <c r="G1307" s="5"/>
      <c r="H1307" s="5"/>
    </row>
    <row r="1308" customFormat="1" spans="7:8">
      <c r="G1308" s="5"/>
      <c r="H1308" s="5"/>
    </row>
    <row r="1309" customFormat="1" spans="7:8">
      <c r="G1309" s="5"/>
      <c r="H1309" s="5"/>
    </row>
    <row r="1310" customFormat="1" spans="7:8">
      <c r="G1310" s="5"/>
      <c r="H1310" s="5"/>
    </row>
    <row r="1311" customFormat="1" spans="7:8">
      <c r="G1311" s="5"/>
      <c r="H1311" s="5"/>
    </row>
    <row r="1312" customFormat="1" spans="7:8">
      <c r="G1312" s="5"/>
      <c r="H1312" s="5"/>
    </row>
    <row r="1313" customFormat="1" spans="7:8">
      <c r="G1313" s="5"/>
      <c r="H1313" s="5"/>
    </row>
    <row r="1314" customFormat="1" spans="7:8">
      <c r="G1314" s="5"/>
      <c r="H1314" s="5"/>
    </row>
    <row r="1315" customFormat="1" spans="7:8">
      <c r="G1315" s="5"/>
      <c r="H1315" s="5"/>
    </row>
    <row r="1316" customFormat="1" spans="7:8">
      <c r="G1316" s="5"/>
      <c r="H1316" s="5"/>
    </row>
    <row r="1317" customFormat="1" spans="7:8">
      <c r="G1317" s="5"/>
      <c r="H1317" s="5"/>
    </row>
    <row r="1318" customFormat="1" spans="7:8">
      <c r="G1318" s="5"/>
      <c r="H1318" s="5"/>
    </row>
    <row r="1319" customFormat="1" spans="7:8">
      <c r="G1319" s="5"/>
      <c r="H1319" s="5"/>
    </row>
    <row r="1320" customFormat="1" spans="7:8">
      <c r="G1320" s="5"/>
      <c r="H1320" s="5"/>
    </row>
    <row r="1321" customFormat="1" spans="7:8">
      <c r="G1321" s="5"/>
      <c r="H1321" s="5"/>
    </row>
    <row r="1322" customFormat="1" spans="7:8">
      <c r="G1322" s="5"/>
      <c r="H1322" s="5"/>
    </row>
    <row r="1323" customFormat="1" spans="7:8">
      <c r="G1323" s="5"/>
      <c r="H1323" s="5"/>
    </row>
    <row r="1324" customFormat="1" spans="7:8">
      <c r="G1324" s="5"/>
      <c r="H1324" s="5"/>
    </row>
    <row r="1325" customFormat="1" spans="7:8">
      <c r="G1325" s="5"/>
      <c r="H1325" s="5"/>
    </row>
    <row r="1326" customFormat="1" spans="7:8">
      <c r="G1326" s="5"/>
      <c r="H1326" s="5"/>
    </row>
    <row r="1327" customFormat="1" spans="7:8">
      <c r="G1327" s="5"/>
      <c r="H1327" s="5"/>
    </row>
    <row r="1328" customFormat="1" spans="7:8">
      <c r="G1328" s="5"/>
      <c r="H1328" s="5"/>
    </row>
    <row r="1329" customFormat="1" spans="7:8">
      <c r="G1329" s="5"/>
      <c r="H1329" s="5"/>
    </row>
    <row r="1330" customFormat="1" spans="7:8">
      <c r="G1330" s="5"/>
      <c r="H1330" s="5"/>
    </row>
    <row r="1331" customFormat="1" spans="7:8">
      <c r="G1331" s="5"/>
      <c r="H1331" s="5"/>
    </row>
    <row r="1332" customFormat="1" spans="7:8">
      <c r="G1332" s="5"/>
      <c r="H1332" s="5"/>
    </row>
    <row r="1333" customFormat="1" spans="7:8">
      <c r="G1333" s="5"/>
      <c r="H1333" s="5"/>
    </row>
    <row r="1334" customFormat="1" spans="7:8">
      <c r="G1334" s="5"/>
      <c r="H1334" s="5"/>
    </row>
    <row r="1335" customFormat="1" spans="7:8">
      <c r="G1335" s="5"/>
      <c r="H1335" s="5"/>
    </row>
    <row r="1336" customFormat="1" spans="7:8">
      <c r="G1336" s="5"/>
      <c r="H1336" s="5"/>
    </row>
    <row r="1337" customFormat="1" spans="7:8">
      <c r="G1337" s="5"/>
      <c r="H1337" s="5"/>
    </row>
    <row r="1338" customFormat="1" spans="7:8">
      <c r="G1338" s="5"/>
      <c r="H1338" s="5"/>
    </row>
    <row r="1339" customFormat="1" spans="7:8">
      <c r="G1339" s="5"/>
      <c r="H1339" s="5"/>
    </row>
    <row r="1340" customFormat="1" spans="7:8">
      <c r="G1340" s="5"/>
      <c r="H1340" s="5"/>
    </row>
    <row r="1341" customFormat="1" spans="7:8">
      <c r="G1341" s="5"/>
      <c r="H1341" s="5"/>
    </row>
    <row r="1342" customFormat="1" spans="7:8">
      <c r="G1342" s="5"/>
      <c r="H1342" s="5"/>
    </row>
    <row r="1343" customFormat="1" spans="7:8">
      <c r="G1343" s="5"/>
      <c r="H1343" s="5"/>
    </row>
    <row r="1344" customFormat="1" spans="7:8">
      <c r="G1344" s="5"/>
      <c r="H1344" s="5"/>
    </row>
    <row r="1345" customFormat="1" spans="7:8">
      <c r="G1345" s="5"/>
      <c r="H1345" s="5"/>
    </row>
    <row r="1346" customFormat="1" spans="7:8">
      <c r="G1346" s="5"/>
      <c r="H1346" s="5"/>
    </row>
    <row r="1347" customFormat="1" spans="7:8">
      <c r="G1347" s="5"/>
      <c r="H1347" s="5"/>
    </row>
    <row r="1348" customFormat="1" spans="7:8">
      <c r="G1348" s="5"/>
      <c r="H1348" s="5"/>
    </row>
    <row r="1349" customFormat="1" spans="7:8">
      <c r="G1349" s="5"/>
      <c r="H1349" s="5"/>
    </row>
    <row r="1350" customFormat="1" spans="7:8">
      <c r="G1350" s="5"/>
      <c r="H1350" s="5"/>
    </row>
    <row r="1351" customFormat="1" spans="7:8">
      <c r="G1351" s="5"/>
      <c r="H1351" s="5"/>
    </row>
    <row r="1352" customFormat="1" spans="7:8">
      <c r="G1352" s="5"/>
      <c r="H1352" s="5"/>
    </row>
    <row r="1353" customFormat="1" spans="7:8">
      <c r="G1353" s="5"/>
      <c r="H1353" s="5"/>
    </row>
    <row r="1354" customFormat="1" spans="7:8">
      <c r="G1354" s="5"/>
      <c r="H1354" s="5"/>
    </row>
    <row r="1355" customFormat="1" spans="7:8">
      <c r="G1355" s="5"/>
      <c r="H1355" s="5"/>
    </row>
    <row r="1356" customFormat="1" spans="7:8">
      <c r="G1356" s="5"/>
      <c r="H1356" s="5"/>
    </row>
    <row r="1357" customFormat="1" spans="7:8">
      <c r="G1357" s="5"/>
      <c r="H1357" s="5"/>
    </row>
    <row r="1358" customFormat="1" spans="7:8">
      <c r="G1358" s="5"/>
      <c r="H1358" s="5"/>
    </row>
    <row r="1359" customFormat="1" spans="7:8">
      <c r="G1359" s="5"/>
      <c r="H1359" s="5"/>
    </row>
    <row r="1360" customFormat="1" spans="7:8">
      <c r="G1360" s="5"/>
      <c r="H1360" s="5"/>
    </row>
    <row r="1361" customFormat="1" spans="7:8">
      <c r="G1361" s="5"/>
      <c r="H1361" s="5"/>
    </row>
    <row r="1362" customFormat="1" spans="7:8">
      <c r="G1362" s="5"/>
      <c r="H1362" s="5"/>
    </row>
    <row r="1363" customFormat="1" spans="7:8">
      <c r="G1363" s="5"/>
      <c r="H1363" s="5"/>
    </row>
    <row r="1364" customFormat="1" spans="7:8">
      <c r="G1364" s="5"/>
      <c r="H1364" s="5"/>
    </row>
    <row r="1365" customFormat="1" spans="7:8">
      <c r="G1365" s="5"/>
      <c r="H1365" s="5"/>
    </row>
    <row r="1366" customFormat="1" spans="7:8">
      <c r="G1366" s="5"/>
      <c r="H1366" s="5"/>
    </row>
    <row r="1367" customFormat="1" spans="7:8">
      <c r="G1367" s="5"/>
      <c r="H1367" s="5"/>
    </row>
    <row r="1368" customFormat="1" spans="7:8">
      <c r="G1368" s="5"/>
      <c r="H1368" s="5"/>
    </row>
    <row r="1369" customFormat="1" spans="7:8">
      <c r="G1369" s="5"/>
      <c r="H1369" s="5"/>
    </row>
    <row r="1370" customFormat="1" spans="7:8">
      <c r="G1370" s="5"/>
      <c r="H1370" s="5"/>
    </row>
    <row r="1371" customFormat="1" spans="7:8">
      <c r="G1371" s="5"/>
      <c r="H1371" s="5"/>
    </row>
    <row r="1372" customFormat="1" spans="7:8">
      <c r="G1372" s="5"/>
      <c r="H1372" s="5"/>
    </row>
    <row r="1373" customFormat="1" spans="7:8">
      <c r="G1373" s="5"/>
      <c r="H1373" s="5"/>
    </row>
    <row r="1374" customFormat="1" spans="7:8">
      <c r="G1374" s="5"/>
      <c r="H1374" s="5"/>
    </row>
    <row r="1375" customFormat="1" spans="7:8">
      <c r="G1375" s="5"/>
      <c r="H1375" s="5"/>
    </row>
    <row r="1376" customFormat="1" spans="7:8">
      <c r="G1376" s="5"/>
      <c r="H1376" s="5"/>
    </row>
    <row r="1377" customFormat="1" spans="7:8">
      <c r="G1377" s="5"/>
      <c r="H1377" s="5"/>
    </row>
    <row r="1378" customFormat="1" spans="7:8">
      <c r="G1378" s="5"/>
      <c r="H1378" s="5"/>
    </row>
    <row r="1379" customFormat="1" spans="7:8">
      <c r="G1379" s="5"/>
      <c r="H1379" s="5"/>
    </row>
    <row r="1380" customFormat="1" spans="7:8">
      <c r="G1380" s="5"/>
      <c r="H1380" s="5"/>
    </row>
    <row r="1381" customFormat="1" spans="7:8">
      <c r="G1381" s="5"/>
      <c r="H1381" s="5"/>
    </row>
    <row r="1382" customFormat="1" spans="7:8">
      <c r="G1382" s="5"/>
      <c r="H1382" s="5"/>
    </row>
    <row r="1383" customFormat="1" spans="7:8">
      <c r="G1383" s="5"/>
      <c r="H1383" s="5"/>
    </row>
    <row r="1384" customFormat="1" spans="7:8">
      <c r="G1384" s="5"/>
      <c r="H1384" s="5"/>
    </row>
    <row r="1385" customFormat="1" spans="7:8">
      <c r="G1385" s="5"/>
      <c r="H1385" s="5"/>
    </row>
    <row r="1386" customFormat="1" spans="7:8">
      <c r="G1386" s="5"/>
      <c r="H1386" s="5"/>
    </row>
    <row r="1387" customFormat="1" spans="7:8">
      <c r="G1387" s="5"/>
      <c r="H1387" s="5"/>
    </row>
    <row r="1388" customFormat="1" spans="7:8">
      <c r="G1388" s="5"/>
      <c r="H1388" s="5"/>
    </row>
    <row r="1389" customFormat="1" spans="7:8">
      <c r="G1389" s="5"/>
      <c r="H1389" s="5"/>
    </row>
    <row r="1390" customFormat="1" spans="7:8">
      <c r="G1390" s="5"/>
      <c r="H1390" s="5"/>
    </row>
    <row r="1391" customFormat="1" spans="7:8">
      <c r="G1391" s="5"/>
      <c r="H1391" s="5"/>
    </row>
    <row r="1392" customFormat="1" spans="7:8">
      <c r="G1392" s="5"/>
      <c r="H1392" s="5"/>
    </row>
    <row r="1393" customFormat="1" spans="7:8">
      <c r="G1393" s="5"/>
      <c r="H1393" s="5"/>
    </row>
    <row r="1394" customFormat="1" spans="7:8">
      <c r="G1394" s="5"/>
      <c r="H1394" s="5"/>
    </row>
    <row r="1395" customFormat="1" spans="7:8">
      <c r="G1395" s="5"/>
      <c r="H1395" s="5"/>
    </row>
    <row r="1396" customFormat="1" spans="7:8">
      <c r="G1396" s="5"/>
      <c r="H1396" s="5"/>
    </row>
    <row r="1397" customFormat="1" spans="7:8">
      <c r="G1397" s="5"/>
      <c r="H1397" s="5"/>
    </row>
    <row r="1398" customFormat="1" spans="7:8">
      <c r="G1398" s="5"/>
      <c r="H1398" s="5"/>
    </row>
    <row r="1399" customFormat="1" spans="7:8">
      <c r="G1399" s="5"/>
      <c r="H1399" s="5"/>
    </row>
    <row r="1400" customFormat="1" spans="7:8">
      <c r="G1400" s="5"/>
      <c r="H1400" s="5"/>
    </row>
    <row r="1401" customFormat="1" spans="7:8">
      <c r="G1401" s="5"/>
      <c r="H1401" s="5"/>
    </row>
    <row r="1402" customFormat="1" spans="7:8">
      <c r="G1402" s="5"/>
      <c r="H1402" s="5"/>
    </row>
    <row r="1403" customFormat="1" spans="7:8">
      <c r="G1403" s="5"/>
      <c r="H1403" s="5"/>
    </row>
    <row r="1404" customFormat="1" spans="7:8">
      <c r="G1404" s="5"/>
      <c r="H1404" s="5"/>
    </row>
    <row r="1405" customFormat="1" spans="7:8">
      <c r="G1405" s="5"/>
      <c r="H1405" s="5"/>
    </row>
    <row r="1406" customFormat="1" spans="7:8">
      <c r="G1406" s="5"/>
      <c r="H1406" s="5"/>
    </row>
    <row r="1407" customFormat="1" spans="7:8">
      <c r="G1407" s="5"/>
      <c r="H1407" s="5"/>
    </row>
    <row r="1408" customFormat="1" spans="7:8">
      <c r="G1408" s="5"/>
      <c r="H1408" s="5"/>
    </row>
    <row r="1409" customFormat="1" spans="7:8">
      <c r="G1409" s="5"/>
      <c r="H1409" s="5"/>
    </row>
    <row r="1410" customFormat="1" spans="7:8">
      <c r="G1410" s="5"/>
      <c r="H1410" s="5"/>
    </row>
    <row r="1411" customFormat="1" spans="7:8">
      <c r="G1411" s="5"/>
      <c r="H1411" s="5"/>
    </row>
    <row r="1412" customFormat="1" spans="7:8">
      <c r="G1412" s="5"/>
      <c r="H1412" s="5"/>
    </row>
    <row r="1413" customFormat="1" spans="7:8">
      <c r="G1413" s="5"/>
      <c r="H1413" s="5"/>
    </row>
    <row r="1414" customFormat="1" spans="7:8">
      <c r="G1414" s="5"/>
      <c r="H1414" s="5"/>
    </row>
    <row r="1415" customFormat="1" spans="7:8">
      <c r="G1415" s="5"/>
      <c r="H1415" s="5"/>
    </row>
    <row r="1416" customFormat="1" spans="7:8">
      <c r="G1416" s="5"/>
      <c r="H1416" s="5"/>
    </row>
    <row r="1417" customFormat="1" spans="7:8">
      <c r="G1417" s="5"/>
      <c r="H1417" s="5"/>
    </row>
    <row r="1418" customFormat="1" spans="7:8">
      <c r="G1418" s="5"/>
      <c r="H1418" s="5"/>
    </row>
    <row r="1419" customFormat="1" spans="7:8">
      <c r="G1419" s="5"/>
      <c r="H1419" s="5"/>
    </row>
    <row r="1420" customFormat="1" spans="7:8">
      <c r="G1420" s="5"/>
      <c r="H1420" s="5"/>
    </row>
    <row r="1421" customFormat="1" spans="7:8">
      <c r="G1421" s="5"/>
      <c r="H1421" s="5"/>
    </row>
    <row r="1422" customFormat="1" spans="7:8">
      <c r="G1422" s="5"/>
      <c r="H1422" s="5"/>
    </row>
    <row r="1423" customFormat="1" spans="7:8">
      <c r="G1423" s="5"/>
      <c r="H1423" s="5"/>
    </row>
    <row r="1424" customFormat="1" spans="7:8">
      <c r="G1424" s="5"/>
      <c r="H1424" s="5"/>
    </row>
    <row r="1425" customFormat="1" spans="7:8">
      <c r="G1425" s="5"/>
      <c r="H1425" s="5"/>
    </row>
    <row r="1426" customFormat="1" spans="7:8">
      <c r="G1426" s="5"/>
      <c r="H1426" s="5"/>
    </row>
    <row r="1427" customFormat="1" spans="7:8">
      <c r="G1427" s="5"/>
      <c r="H1427" s="5"/>
    </row>
    <row r="1428" customFormat="1" spans="7:8">
      <c r="G1428" s="5"/>
      <c r="H1428" s="5"/>
    </row>
    <row r="1429" customFormat="1" spans="7:8">
      <c r="G1429" s="5"/>
      <c r="H1429" s="5"/>
    </row>
    <row r="1430" customFormat="1" spans="7:8">
      <c r="G1430" s="5"/>
      <c r="H1430" s="5"/>
    </row>
    <row r="1431" customFormat="1" spans="7:8">
      <c r="G1431" s="5"/>
      <c r="H1431" s="5"/>
    </row>
    <row r="1432" customFormat="1" spans="7:8">
      <c r="G1432" s="5"/>
      <c r="H1432" s="5"/>
    </row>
    <row r="1433" customFormat="1" spans="7:8">
      <c r="G1433" s="5"/>
      <c r="H1433" s="5"/>
    </row>
    <row r="1434" customFormat="1" spans="7:8">
      <c r="G1434" s="5"/>
      <c r="H1434" s="5"/>
    </row>
    <row r="1435" customFormat="1" spans="7:8">
      <c r="G1435" s="5"/>
      <c r="H1435" s="5"/>
    </row>
    <row r="1436" customFormat="1" spans="7:8">
      <c r="G1436" s="5"/>
      <c r="H1436" s="5"/>
    </row>
    <row r="1437" customFormat="1" spans="7:8">
      <c r="G1437" s="5"/>
      <c r="H1437" s="5"/>
    </row>
    <row r="1438" customFormat="1" spans="7:8">
      <c r="G1438" s="5"/>
      <c r="H1438" s="5"/>
    </row>
    <row r="1439" customFormat="1" spans="7:8">
      <c r="G1439" s="5"/>
      <c r="H1439" s="5"/>
    </row>
    <row r="1440" customFormat="1" spans="7:8">
      <c r="G1440" s="5"/>
      <c r="H1440" s="5"/>
    </row>
    <row r="1441" customFormat="1" spans="7:8">
      <c r="G1441" s="5"/>
      <c r="H1441" s="5"/>
    </row>
    <row r="1442" customFormat="1" spans="7:8">
      <c r="G1442" s="5"/>
      <c r="H1442" s="5"/>
    </row>
    <row r="1443" customFormat="1" spans="7:8">
      <c r="G1443" s="5"/>
      <c r="H1443" s="5"/>
    </row>
    <row r="1444" customFormat="1" spans="7:8">
      <c r="G1444" s="5"/>
      <c r="H1444" s="5"/>
    </row>
    <row r="1445" customFormat="1" spans="7:8">
      <c r="G1445" s="5"/>
      <c r="H1445" s="5"/>
    </row>
    <row r="1446" customFormat="1" spans="7:8">
      <c r="G1446" s="5"/>
      <c r="H1446" s="5"/>
    </row>
    <row r="1447" customFormat="1" spans="7:8">
      <c r="G1447" s="5"/>
      <c r="H1447" s="5"/>
    </row>
    <row r="1448" customFormat="1" spans="7:8">
      <c r="G1448" s="5"/>
      <c r="H1448" s="5"/>
    </row>
    <row r="1449" customFormat="1" spans="7:8">
      <c r="G1449" s="5"/>
      <c r="H1449" s="5"/>
    </row>
    <row r="1450" customFormat="1" spans="7:8">
      <c r="G1450" s="5"/>
      <c r="H1450" s="5"/>
    </row>
    <row r="1451" customFormat="1" spans="7:8">
      <c r="G1451" s="5"/>
      <c r="H1451" s="5"/>
    </row>
    <row r="1452" customFormat="1" spans="7:8">
      <c r="G1452" s="5"/>
      <c r="H1452" s="5"/>
    </row>
    <row r="1453" customFormat="1" spans="7:8">
      <c r="G1453" s="5"/>
      <c r="H1453" s="5"/>
    </row>
    <row r="1454" customFormat="1" spans="7:8">
      <c r="G1454" s="5"/>
      <c r="H1454" s="5"/>
    </row>
    <row r="1455" customFormat="1" spans="7:8">
      <c r="G1455" s="5"/>
      <c r="H1455" s="5"/>
    </row>
    <row r="1456" customFormat="1" spans="7:8">
      <c r="G1456" s="5"/>
      <c r="H1456" s="5"/>
    </row>
    <row r="1457" customFormat="1" spans="7:8">
      <c r="G1457" s="5"/>
      <c r="H1457" s="5"/>
    </row>
    <row r="1458" customFormat="1" spans="7:8">
      <c r="G1458" s="5"/>
      <c r="H1458" s="5"/>
    </row>
    <row r="1459" customFormat="1" spans="7:8">
      <c r="G1459" s="5"/>
      <c r="H1459" s="5"/>
    </row>
    <row r="1460" customFormat="1" spans="7:8">
      <c r="G1460" s="5"/>
      <c r="H1460" s="5"/>
    </row>
    <row r="1461" customFormat="1" spans="7:8">
      <c r="G1461" s="5"/>
      <c r="H1461" s="5"/>
    </row>
    <row r="1462" customFormat="1" spans="7:8">
      <c r="G1462" s="5"/>
      <c r="H1462" s="5"/>
    </row>
    <row r="1463" customFormat="1" spans="7:8">
      <c r="G1463" s="5"/>
      <c r="H1463" s="5"/>
    </row>
    <row r="1464" customFormat="1" spans="7:8">
      <c r="G1464" s="5"/>
      <c r="H1464" s="5"/>
    </row>
    <row r="1465" customFormat="1" spans="7:8">
      <c r="G1465" s="5"/>
      <c r="H1465" s="5"/>
    </row>
    <row r="1466" customFormat="1" spans="7:8">
      <c r="G1466" s="5"/>
      <c r="H1466" s="5"/>
    </row>
    <row r="1467" customFormat="1" spans="7:8">
      <c r="G1467" s="5"/>
      <c r="H1467" s="5"/>
    </row>
    <row r="1468" customFormat="1" spans="7:8">
      <c r="G1468" s="5"/>
      <c r="H1468" s="5"/>
    </row>
    <row r="1469" customFormat="1" spans="7:8">
      <c r="G1469" s="5"/>
      <c r="H1469" s="5"/>
    </row>
    <row r="1470" customFormat="1" spans="7:8">
      <c r="G1470" s="5"/>
      <c r="H1470" s="5"/>
    </row>
    <row r="1471" customFormat="1" spans="7:8">
      <c r="G1471" s="5"/>
      <c r="H1471" s="5"/>
    </row>
    <row r="1472" customFormat="1" spans="7:8">
      <c r="G1472" s="5"/>
      <c r="H1472" s="5"/>
    </row>
    <row r="1473" customFormat="1" spans="7:8">
      <c r="G1473" s="5"/>
      <c r="H1473" s="5"/>
    </row>
    <row r="1474" customFormat="1" spans="7:8">
      <c r="G1474" s="5"/>
      <c r="H1474" s="5"/>
    </row>
    <row r="1475" customFormat="1" spans="7:8">
      <c r="G1475" s="5"/>
      <c r="H1475" s="5"/>
    </row>
    <row r="1476" customFormat="1" spans="7:8">
      <c r="G1476" s="5"/>
      <c r="H1476" s="5"/>
    </row>
    <row r="1477" customFormat="1" spans="7:8">
      <c r="G1477" s="5"/>
      <c r="H1477" s="5"/>
    </row>
    <row r="1478" customFormat="1" spans="7:8">
      <c r="G1478" s="5"/>
      <c r="H1478" s="5"/>
    </row>
    <row r="1479" customFormat="1" spans="7:8">
      <c r="G1479" s="5"/>
      <c r="H1479" s="5"/>
    </row>
    <row r="1480" customFormat="1" spans="7:8">
      <c r="G1480" s="5"/>
      <c r="H1480" s="5"/>
    </row>
    <row r="1481" customFormat="1" spans="7:8">
      <c r="G1481" s="5"/>
      <c r="H1481" s="5"/>
    </row>
    <row r="1482" customFormat="1" spans="7:8">
      <c r="G1482" s="5"/>
      <c r="H1482" s="5"/>
    </row>
    <row r="1483" customFormat="1" spans="7:8">
      <c r="G1483" s="5"/>
      <c r="H1483" s="5"/>
    </row>
    <row r="1484" customFormat="1" spans="7:8">
      <c r="G1484" s="5"/>
      <c r="H1484" s="5"/>
    </row>
    <row r="1485" customFormat="1" spans="7:8">
      <c r="G1485" s="5"/>
      <c r="H1485" s="5"/>
    </row>
    <row r="1486" customFormat="1" spans="7:8">
      <c r="G1486" s="5"/>
      <c r="H1486" s="5"/>
    </row>
    <row r="1487" customFormat="1" spans="7:8">
      <c r="G1487" s="5"/>
      <c r="H1487" s="5"/>
    </row>
    <row r="1488" customFormat="1" spans="7:8">
      <c r="G1488" s="5"/>
      <c r="H1488" s="5"/>
    </row>
    <row r="1489" customFormat="1" spans="7:8">
      <c r="G1489" s="5"/>
      <c r="H1489" s="5"/>
    </row>
    <row r="1490" customFormat="1" spans="7:8">
      <c r="G1490" s="5"/>
      <c r="H1490" s="5"/>
    </row>
    <row r="1491" customFormat="1" spans="7:8">
      <c r="G1491" s="5"/>
      <c r="H1491" s="5"/>
    </row>
    <row r="1492" customFormat="1" spans="7:8">
      <c r="G1492" s="5"/>
      <c r="H1492" s="5"/>
    </row>
    <row r="1493" customFormat="1" spans="7:8">
      <c r="G1493" s="5"/>
      <c r="H1493" s="5"/>
    </row>
    <row r="1494" customFormat="1" spans="7:8">
      <c r="G1494" s="5"/>
      <c r="H1494" s="5"/>
    </row>
    <row r="1495" customFormat="1" spans="7:8">
      <c r="G1495" s="5"/>
      <c r="H1495" s="5"/>
    </row>
    <row r="1496" customFormat="1" spans="7:8">
      <c r="G1496" s="5"/>
      <c r="H1496" s="5"/>
    </row>
    <row r="1497" customFormat="1" spans="7:8">
      <c r="G1497" s="5"/>
      <c r="H1497" s="5"/>
    </row>
    <row r="1498" customFormat="1" spans="7:8">
      <c r="G1498" s="5"/>
      <c r="H1498" s="5"/>
    </row>
    <row r="1499" customFormat="1" spans="7:8">
      <c r="G1499" s="5"/>
      <c r="H1499" s="5"/>
    </row>
    <row r="1500" customFormat="1" spans="7:8">
      <c r="G1500" s="5"/>
      <c r="H1500" s="5"/>
    </row>
    <row r="1501" customFormat="1" spans="7:8">
      <c r="G1501" s="5"/>
      <c r="H1501" s="5"/>
    </row>
    <row r="1502" customFormat="1" spans="7:8">
      <c r="G1502" s="5"/>
      <c r="H1502" s="5"/>
    </row>
    <row r="1503" customFormat="1" spans="7:8">
      <c r="G1503" s="5"/>
      <c r="H1503" s="5"/>
    </row>
    <row r="1504" customFormat="1" spans="7:8">
      <c r="G1504" s="5"/>
      <c r="H1504" s="5"/>
    </row>
    <row r="1505" customFormat="1" spans="7:8">
      <c r="G1505" s="5"/>
      <c r="H1505" s="5"/>
    </row>
    <row r="1506" customFormat="1" spans="7:8">
      <c r="G1506" s="5"/>
      <c r="H1506" s="5"/>
    </row>
    <row r="1507" customFormat="1" spans="7:8">
      <c r="G1507" s="5"/>
      <c r="H1507" s="5"/>
    </row>
    <row r="1508" customFormat="1" spans="7:8">
      <c r="G1508" s="5"/>
      <c r="H1508" s="5"/>
    </row>
    <row r="1509" customFormat="1" spans="7:8">
      <c r="G1509" s="5"/>
      <c r="H1509" s="5"/>
    </row>
    <row r="1510" customFormat="1" spans="7:8">
      <c r="G1510" s="5"/>
      <c r="H1510" s="5"/>
    </row>
    <row r="1511" customFormat="1" spans="7:8">
      <c r="G1511" s="5"/>
      <c r="H1511" s="5"/>
    </row>
    <row r="1512" customFormat="1" spans="7:8">
      <c r="G1512" s="5"/>
      <c r="H1512" s="5"/>
    </row>
    <row r="1513" customFormat="1" spans="7:8">
      <c r="G1513" s="5"/>
      <c r="H1513" s="5"/>
    </row>
    <row r="1514" customFormat="1" spans="7:8">
      <c r="G1514" s="5"/>
      <c r="H1514" s="5"/>
    </row>
    <row r="1515" customFormat="1" spans="7:8">
      <c r="G1515" s="5"/>
      <c r="H1515" s="5"/>
    </row>
    <row r="1516" customFormat="1" spans="7:8">
      <c r="G1516" s="5"/>
      <c r="H1516" s="5"/>
    </row>
    <row r="1517" customFormat="1" spans="7:8">
      <c r="G1517" s="5"/>
      <c r="H1517" s="5"/>
    </row>
    <row r="1518" customFormat="1" spans="7:8">
      <c r="G1518" s="5"/>
      <c r="H1518" s="5"/>
    </row>
    <row r="1519" customFormat="1" spans="7:8">
      <c r="G1519" s="5"/>
      <c r="H1519" s="5"/>
    </row>
    <row r="1520" customFormat="1" spans="7:8">
      <c r="G1520" s="5"/>
      <c r="H1520" s="5"/>
    </row>
    <row r="1521" customFormat="1" spans="7:8">
      <c r="G1521" s="5"/>
      <c r="H1521" s="5"/>
    </row>
    <row r="1522" customFormat="1" spans="7:8">
      <c r="G1522" s="5"/>
      <c r="H1522" s="5"/>
    </row>
    <row r="1523" customFormat="1" spans="7:8">
      <c r="G1523" s="5"/>
      <c r="H1523" s="5"/>
    </row>
    <row r="1524" customFormat="1" spans="7:8">
      <c r="G1524" s="5"/>
      <c r="H1524" s="5"/>
    </row>
    <row r="1525" customFormat="1" spans="7:8">
      <c r="G1525" s="5"/>
      <c r="H1525" s="5"/>
    </row>
    <row r="1526" customFormat="1" spans="7:8">
      <c r="G1526" s="5"/>
      <c r="H1526" s="5"/>
    </row>
    <row r="1527" customFormat="1" spans="7:8">
      <c r="G1527" s="5"/>
      <c r="H1527" s="5"/>
    </row>
    <row r="1528" customFormat="1" spans="7:8">
      <c r="G1528" s="5"/>
      <c r="H1528" s="5"/>
    </row>
    <row r="1529" customFormat="1" spans="7:8">
      <c r="G1529" s="5"/>
      <c r="H1529" s="5"/>
    </row>
    <row r="1530" customFormat="1" spans="7:8">
      <c r="G1530" s="5"/>
      <c r="H1530" s="5"/>
    </row>
    <row r="1531" customFormat="1" spans="7:8">
      <c r="G1531" s="5"/>
      <c r="H1531" s="5"/>
    </row>
    <row r="1532" customFormat="1" spans="7:8">
      <c r="G1532" s="5"/>
      <c r="H1532" s="5"/>
    </row>
    <row r="1533" customFormat="1" spans="7:8">
      <c r="G1533" s="5"/>
      <c r="H1533" s="5"/>
    </row>
    <row r="1534" customFormat="1" spans="7:8">
      <c r="G1534" s="5"/>
      <c r="H1534" s="5"/>
    </row>
    <row r="1535" customFormat="1" spans="7:8">
      <c r="G1535" s="5"/>
      <c r="H1535" s="5"/>
    </row>
    <row r="1536" customFormat="1" spans="7:8">
      <c r="G1536" s="5"/>
      <c r="H1536" s="5"/>
    </row>
    <row r="1537" customFormat="1" spans="7:8">
      <c r="G1537" s="5"/>
      <c r="H1537" s="5"/>
    </row>
    <row r="1538" customFormat="1" spans="7:8">
      <c r="G1538" s="5"/>
      <c r="H1538" s="5"/>
    </row>
    <row r="1539" customFormat="1" spans="7:8">
      <c r="G1539" s="5"/>
      <c r="H1539" s="5"/>
    </row>
    <row r="1540" customFormat="1" spans="7:8">
      <c r="G1540" s="5"/>
      <c r="H1540" s="5"/>
    </row>
    <row r="1541" customFormat="1" spans="7:8">
      <c r="G1541" s="5"/>
      <c r="H1541" s="5"/>
    </row>
    <row r="1542" customFormat="1" spans="7:8">
      <c r="G1542" s="5"/>
      <c r="H1542" s="5"/>
    </row>
    <row r="1543" customFormat="1" spans="7:8">
      <c r="G1543" s="5"/>
      <c r="H1543" s="5"/>
    </row>
    <row r="1544" customFormat="1" spans="7:8">
      <c r="G1544" s="5"/>
      <c r="H1544" s="5"/>
    </row>
    <row r="1545" customFormat="1" spans="7:8">
      <c r="G1545" s="5"/>
      <c r="H1545" s="5"/>
    </row>
    <row r="1546" customFormat="1" spans="7:8">
      <c r="G1546" s="5"/>
      <c r="H1546" s="5"/>
    </row>
    <row r="1547" customFormat="1" spans="7:8">
      <c r="G1547" s="5"/>
      <c r="H1547" s="5"/>
    </row>
    <row r="1548" customFormat="1" spans="7:8">
      <c r="G1548" s="5"/>
      <c r="H1548" s="5"/>
    </row>
    <row r="1549" customFormat="1" spans="7:8">
      <c r="G1549" s="5"/>
      <c r="H1549" s="5"/>
    </row>
    <row r="1550" customFormat="1" spans="7:8">
      <c r="G1550" s="5"/>
      <c r="H1550" s="5"/>
    </row>
    <row r="1551" customFormat="1" spans="7:8">
      <c r="G1551" s="5"/>
      <c r="H1551" s="5"/>
    </row>
    <row r="1552" customFormat="1" spans="7:8">
      <c r="G1552" s="5"/>
      <c r="H1552" s="5"/>
    </row>
    <row r="1553" customFormat="1" spans="7:8">
      <c r="G1553" s="5"/>
      <c r="H1553" s="5"/>
    </row>
    <row r="1554" customFormat="1" spans="7:8">
      <c r="G1554" s="5"/>
      <c r="H1554" s="5"/>
    </row>
    <row r="1555" customFormat="1" spans="7:8">
      <c r="G1555" s="5"/>
      <c r="H1555" s="5"/>
    </row>
    <row r="1556" customFormat="1" spans="7:8">
      <c r="G1556" s="5"/>
      <c r="H1556" s="5"/>
    </row>
    <row r="1557" customFormat="1" spans="7:8">
      <c r="G1557" s="5"/>
      <c r="H1557" s="5"/>
    </row>
    <row r="1558" customFormat="1" spans="7:8">
      <c r="G1558" s="5"/>
      <c r="H1558" s="5"/>
    </row>
    <row r="1559" customFormat="1" spans="7:8">
      <c r="G1559" s="5"/>
      <c r="H1559" s="5"/>
    </row>
    <row r="1560" customFormat="1" spans="7:8">
      <c r="G1560" s="5"/>
      <c r="H1560" s="5"/>
    </row>
    <row r="1561" customFormat="1" spans="7:8">
      <c r="G1561" s="5"/>
      <c r="H1561" s="5"/>
    </row>
    <row r="1562" customFormat="1" spans="7:8">
      <c r="G1562" s="5"/>
      <c r="H1562" s="5"/>
    </row>
    <row r="1563" customFormat="1" spans="7:8">
      <c r="G1563" s="5"/>
      <c r="H1563" s="5"/>
    </row>
    <row r="1564" customFormat="1" spans="7:8">
      <c r="G1564" s="5"/>
      <c r="H1564" s="5"/>
    </row>
    <row r="1565" customFormat="1" spans="7:8">
      <c r="G1565" s="5"/>
      <c r="H1565" s="5"/>
    </row>
    <row r="1566" customFormat="1" spans="7:8">
      <c r="G1566" s="5"/>
      <c r="H1566" s="5"/>
    </row>
    <row r="1567" customFormat="1" spans="7:8">
      <c r="G1567" s="5"/>
      <c r="H1567" s="5"/>
    </row>
    <row r="1568" customFormat="1" spans="7:8">
      <c r="G1568" s="5"/>
      <c r="H1568" s="5"/>
    </row>
    <row r="1569" customFormat="1" spans="7:8">
      <c r="G1569" s="5"/>
      <c r="H1569" s="5"/>
    </row>
    <row r="1570" customFormat="1" spans="7:8">
      <c r="G1570" s="5"/>
      <c r="H1570" s="5"/>
    </row>
    <row r="1571" customFormat="1" spans="7:8">
      <c r="G1571" s="5"/>
      <c r="H1571" s="5"/>
    </row>
    <row r="1572" customFormat="1" spans="7:8">
      <c r="G1572" s="5"/>
      <c r="H1572" s="5"/>
    </row>
    <row r="1573" customFormat="1" spans="7:8">
      <c r="G1573" s="5"/>
      <c r="H1573" s="5"/>
    </row>
    <row r="1574" customFormat="1" spans="7:8">
      <c r="G1574" s="5"/>
      <c r="H1574" s="5"/>
    </row>
    <row r="1575" customFormat="1" spans="7:8">
      <c r="G1575" s="5"/>
      <c r="H1575" s="5"/>
    </row>
    <row r="1576" customFormat="1" spans="7:8">
      <c r="G1576" s="5"/>
      <c r="H1576" s="5"/>
    </row>
    <row r="1577" customFormat="1" spans="7:8">
      <c r="G1577" s="5"/>
      <c r="H1577" s="5"/>
    </row>
    <row r="1578" customFormat="1" spans="7:8">
      <c r="G1578" s="5"/>
      <c r="H1578" s="5"/>
    </row>
    <row r="1579" customFormat="1" spans="7:8">
      <c r="G1579" s="5"/>
      <c r="H1579" s="5"/>
    </row>
    <row r="1580" customFormat="1" spans="7:8">
      <c r="G1580" s="5"/>
      <c r="H1580" s="5"/>
    </row>
    <row r="1581" customFormat="1" spans="7:8">
      <c r="G1581" s="5"/>
      <c r="H1581" s="5"/>
    </row>
    <row r="1582" customFormat="1" spans="7:8">
      <c r="G1582" s="5"/>
      <c r="H1582" s="5"/>
    </row>
    <row r="1583" customFormat="1" spans="7:8">
      <c r="G1583" s="5"/>
      <c r="H1583" s="5"/>
    </row>
    <row r="1584" customFormat="1" spans="7:8">
      <c r="G1584" s="5"/>
      <c r="H1584" s="5"/>
    </row>
    <row r="1585" customFormat="1" spans="7:8">
      <c r="G1585" s="5"/>
      <c r="H1585" s="5"/>
    </row>
    <row r="1586" customFormat="1" spans="7:8">
      <c r="G1586" s="5"/>
      <c r="H1586" s="5"/>
    </row>
    <row r="1587" customFormat="1" spans="7:8">
      <c r="G1587" s="5"/>
      <c r="H1587" s="5"/>
    </row>
    <row r="1588" customFormat="1" spans="7:8">
      <c r="G1588" s="5"/>
      <c r="H1588" s="5"/>
    </row>
    <row r="1589" customFormat="1" spans="7:8">
      <c r="G1589" s="5"/>
      <c r="H1589" s="5"/>
    </row>
    <row r="1590" customFormat="1" spans="7:8">
      <c r="G1590" s="5"/>
      <c r="H1590" s="5"/>
    </row>
    <row r="1591" customFormat="1" spans="7:8">
      <c r="G1591" s="5"/>
      <c r="H1591" s="5"/>
    </row>
    <row r="1592" customFormat="1" spans="7:8">
      <c r="G1592" s="5"/>
      <c r="H1592" s="5"/>
    </row>
    <row r="1593" customFormat="1" spans="7:8">
      <c r="G1593" s="5"/>
      <c r="H1593" s="5"/>
    </row>
    <row r="1594" customFormat="1" spans="7:8">
      <c r="G1594" s="5"/>
      <c r="H1594" s="5"/>
    </row>
    <row r="1595" customFormat="1" spans="7:8">
      <c r="G1595" s="5"/>
      <c r="H1595" s="5"/>
    </row>
    <row r="1596" customFormat="1" spans="7:8">
      <c r="G1596" s="5"/>
      <c r="H1596" s="5"/>
    </row>
    <row r="1597" customFormat="1" spans="7:8">
      <c r="G1597" s="5"/>
      <c r="H1597" s="5"/>
    </row>
    <row r="1598" customFormat="1" spans="7:8">
      <c r="G1598" s="5"/>
      <c r="H1598" s="5"/>
    </row>
    <row r="1599" customFormat="1" spans="7:8">
      <c r="G1599" s="5"/>
      <c r="H1599" s="5"/>
    </row>
    <row r="1600" customFormat="1" spans="7:8">
      <c r="G1600" s="5"/>
      <c r="H1600" s="5"/>
    </row>
    <row r="1601" customFormat="1" spans="7:8">
      <c r="G1601" s="5"/>
      <c r="H1601" s="5"/>
    </row>
    <row r="1602" customFormat="1" spans="7:8">
      <c r="G1602" s="5"/>
      <c r="H1602" s="5"/>
    </row>
    <row r="1603" customFormat="1" spans="7:8">
      <c r="G1603" s="5"/>
      <c r="H1603" s="5"/>
    </row>
    <row r="1604" customFormat="1" spans="7:8">
      <c r="G1604" s="5"/>
      <c r="H1604" s="5"/>
    </row>
    <row r="1605" customFormat="1" spans="7:8">
      <c r="G1605" s="5"/>
      <c r="H1605" s="5"/>
    </row>
    <row r="1606" customFormat="1" spans="7:8">
      <c r="G1606" s="5"/>
      <c r="H1606" s="5"/>
    </row>
    <row r="1607" customFormat="1" spans="7:8">
      <c r="G1607" s="5"/>
      <c r="H1607" s="5"/>
    </row>
    <row r="1608" customFormat="1" spans="7:8">
      <c r="G1608" s="5"/>
      <c r="H1608" s="5"/>
    </row>
    <row r="1609" customFormat="1" spans="7:8">
      <c r="G1609" s="5"/>
      <c r="H1609" s="5"/>
    </row>
    <row r="1610" customFormat="1" spans="7:8">
      <c r="G1610" s="5"/>
      <c r="H1610" s="5"/>
    </row>
    <row r="1611" customFormat="1" spans="7:8">
      <c r="G1611" s="5"/>
      <c r="H1611" s="5"/>
    </row>
    <row r="1612" customFormat="1" spans="7:8">
      <c r="G1612" s="5"/>
      <c r="H1612" s="5"/>
    </row>
    <row r="1613" customFormat="1" spans="7:8">
      <c r="G1613" s="5"/>
      <c r="H1613" s="5"/>
    </row>
    <row r="1614" customFormat="1" spans="7:8">
      <c r="G1614" s="5"/>
      <c r="H1614" s="5"/>
    </row>
    <row r="1615" customFormat="1" spans="7:8">
      <c r="G1615" s="5"/>
      <c r="H1615" s="5"/>
    </row>
    <row r="1616" customFormat="1" spans="7:8">
      <c r="G1616" s="5"/>
      <c r="H1616" s="5"/>
    </row>
    <row r="1617" customFormat="1" spans="7:8">
      <c r="G1617" s="5"/>
      <c r="H1617" s="5"/>
    </row>
    <row r="1618" customFormat="1" spans="7:8">
      <c r="G1618" s="5"/>
      <c r="H1618" s="5"/>
    </row>
    <row r="1619" customFormat="1" spans="7:8">
      <c r="G1619" s="5"/>
      <c r="H1619" s="5"/>
    </row>
    <row r="1620" customFormat="1" spans="7:8">
      <c r="G1620" s="5"/>
      <c r="H1620" s="5"/>
    </row>
    <row r="1621" customFormat="1" spans="7:8">
      <c r="G1621" s="5"/>
      <c r="H1621" s="5"/>
    </row>
    <row r="1622" customFormat="1" spans="7:8">
      <c r="G1622" s="5"/>
      <c r="H1622" s="5"/>
    </row>
    <row r="1623" customFormat="1" spans="7:8">
      <c r="G1623" s="5"/>
      <c r="H1623" s="5"/>
    </row>
    <row r="1624" customFormat="1" spans="7:8">
      <c r="G1624" s="5"/>
      <c r="H1624" s="5"/>
    </row>
    <row r="1625" customFormat="1" spans="7:8">
      <c r="G1625" s="5"/>
      <c r="H1625" s="5"/>
    </row>
    <row r="1626" customFormat="1" spans="7:8">
      <c r="G1626" s="5"/>
      <c r="H1626" s="5"/>
    </row>
    <row r="1627" customFormat="1" spans="7:8">
      <c r="G1627" s="5"/>
      <c r="H1627" s="5"/>
    </row>
    <row r="1628" customFormat="1" spans="7:8">
      <c r="G1628" s="5"/>
      <c r="H1628" s="5"/>
    </row>
    <row r="1629" customFormat="1" spans="7:8">
      <c r="G1629" s="5"/>
      <c r="H1629" s="5"/>
    </row>
    <row r="1630" customFormat="1" spans="7:8">
      <c r="G1630" s="5"/>
      <c r="H1630" s="5"/>
    </row>
    <row r="1631" customFormat="1" spans="7:8">
      <c r="G1631" s="5"/>
      <c r="H1631" s="5"/>
    </row>
    <row r="1632" customFormat="1" spans="7:8">
      <c r="G1632" s="5"/>
      <c r="H1632" s="5"/>
    </row>
    <row r="1633" customFormat="1" spans="7:8">
      <c r="G1633" s="5"/>
      <c r="H1633" s="5"/>
    </row>
    <row r="1634" customFormat="1" spans="7:8">
      <c r="G1634" s="5"/>
      <c r="H1634" s="5"/>
    </row>
    <row r="1635" customFormat="1" spans="7:8">
      <c r="G1635" s="5"/>
      <c r="H1635" s="5"/>
    </row>
    <row r="1636" customFormat="1" spans="7:8">
      <c r="G1636" s="5"/>
      <c r="H1636" s="5"/>
    </row>
    <row r="1637" customFormat="1" spans="7:8">
      <c r="G1637" s="5"/>
      <c r="H1637" s="5"/>
    </row>
    <row r="1638" customFormat="1" spans="7:8">
      <c r="G1638" s="5"/>
      <c r="H1638" s="5"/>
    </row>
    <row r="1639" customFormat="1" spans="7:8">
      <c r="G1639" s="5"/>
      <c r="H1639" s="5"/>
    </row>
    <row r="1640" customFormat="1" spans="7:8">
      <c r="G1640" s="5"/>
      <c r="H1640" s="5"/>
    </row>
    <row r="1641" customFormat="1" spans="7:8">
      <c r="G1641" s="5"/>
      <c r="H1641" s="5"/>
    </row>
    <row r="1642" customFormat="1" spans="7:8">
      <c r="G1642" s="5"/>
      <c r="H1642" s="5"/>
    </row>
    <row r="1643" customFormat="1" spans="7:8">
      <c r="G1643" s="5"/>
      <c r="H1643" s="5"/>
    </row>
    <row r="1644" customFormat="1" spans="7:8">
      <c r="G1644" s="5"/>
      <c r="H1644" s="5"/>
    </row>
    <row r="1645" customFormat="1" spans="7:8">
      <c r="G1645" s="5"/>
      <c r="H1645" s="5"/>
    </row>
    <row r="1646" customFormat="1" spans="7:8">
      <c r="G1646" s="5"/>
      <c r="H1646" s="5"/>
    </row>
    <row r="1647" customFormat="1" spans="7:8">
      <c r="G1647" s="5"/>
      <c r="H1647" s="5"/>
    </row>
    <row r="1648" customFormat="1" spans="7:8">
      <c r="G1648" s="5"/>
      <c r="H1648" s="5"/>
    </row>
    <row r="1649" customFormat="1" spans="7:8">
      <c r="G1649" s="5"/>
      <c r="H1649" s="5"/>
    </row>
    <row r="1650" customFormat="1" spans="7:8">
      <c r="G1650" s="5"/>
      <c r="H1650" s="5"/>
    </row>
    <row r="1651" customFormat="1" spans="7:8">
      <c r="G1651" s="5"/>
      <c r="H1651" s="5"/>
    </row>
    <row r="1652" customFormat="1" spans="7:8">
      <c r="G1652" s="5"/>
      <c r="H1652" s="5"/>
    </row>
    <row r="1653" customFormat="1" spans="7:8">
      <c r="G1653" s="5"/>
      <c r="H1653" s="5"/>
    </row>
    <row r="1654" customFormat="1" spans="7:8">
      <c r="G1654" s="5"/>
      <c r="H1654" s="5"/>
    </row>
    <row r="1655" customFormat="1" spans="7:8">
      <c r="G1655" s="5"/>
      <c r="H1655" s="5"/>
    </row>
    <row r="1656" customFormat="1" spans="7:8">
      <c r="G1656" s="5"/>
      <c r="H1656" s="5"/>
    </row>
    <row r="1657" customFormat="1" spans="7:8">
      <c r="G1657" s="5"/>
      <c r="H1657" s="5"/>
    </row>
    <row r="1658" customFormat="1" spans="7:8">
      <c r="G1658" s="5"/>
      <c r="H1658" s="5"/>
    </row>
    <row r="1659" customFormat="1" spans="7:8">
      <c r="G1659" s="5"/>
      <c r="H1659" s="5"/>
    </row>
    <row r="1660" customFormat="1" spans="7:8">
      <c r="G1660" s="5"/>
      <c r="H1660" s="5"/>
    </row>
    <row r="1661" customFormat="1" spans="7:8">
      <c r="G1661" s="5"/>
      <c r="H1661" s="5"/>
    </row>
    <row r="1662" customFormat="1" spans="7:8">
      <c r="G1662" s="5"/>
      <c r="H1662" s="5"/>
    </row>
    <row r="1663" customFormat="1" spans="7:8">
      <c r="G1663" s="5"/>
      <c r="H1663" s="5"/>
    </row>
    <row r="1664" customFormat="1" spans="7:8">
      <c r="G1664" s="5"/>
      <c r="H1664" s="5"/>
    </row>
    <row r="1665" customFormat="1" spans="7:8">
      <c r="G1665" s="5"/>
      <c r="H1665" s="5"/>
    </row>
    <row r="1666" customFormat="1" spans="7:8">
      <c r="G1666" s="5"/>
      <c r="H1666" s="5"/>
    </row>
    <row r="1667" customFormat="1" spans="7:8">
      <c r="G1667" s="5"/>
      <c r="H1667" s="5"/>
    </row>
    <row r="1668" customFormat="1" spans="7:8">
      <c r="G1668" s="5"/>
      <c r="H1668" s="5"/>
    </row>
    <row r="1669" customFormat="1" spans="7:8">
      <c r="G1669" s="5"/>
      <c r="H1669" s="5"/>
    </row>
    <row r="1670" customFormat="1" spans="7:8">
      <c r="G1670" s="5"/>
      <c r="H1670" s="5"/>
    </row>
    <row r="1671" customFormat="1" spans="7:8">
      <c r="G1671" s="5"/>
      <c r="H1671" s="5"/>
    </row>
    <row r="1672" customFormat="1" spans="7:8">
      <c r="G1672" s="5"/>
      <c r="H1672" s="5"/>
    </row>
    <row r="1673" customFormat="1" spans="7:8">
      <c r="G1673" s="5"/>
      <c r="H1673" s="5"/>
    </row>
    <row r="1674" customFormat="1" spans="7:8">
      <c r="G1674" s="5"/>
      <c r="H1674" s="5"/>
    </row>
    <row r="1675" customFormat="1" spans="7:8">
      <c r="G1675" s="5"/>
      <c r="H1675" s="5"/>
    </row>
    <row r="1676" customFormat="1" spans="7:8">
      <c r="G1676" s="5"/>
      <c r="H1676" s="5"/>
    </row>
    <row r="1677" customFormat="1" spans="7:8">
      <c r="G1677" s="5"/>
      <c r="H1677" s="5"/>
    </row>
    <row r="1678" customFormat="1" spans="7:8">
      <c r="G1678" s="5"/>
      <c r="H1678" s="5"/>
    </row>
    <row r="1679" customFormat="1" spans="7:8">
      <c r="G1679" s="5"/>
      <c r="H1679" s="5"/>
    </row>
    <row r="1680" customFormat="1" spans="7:8">
      <c r="G1680" s="5"/>
      <c r="H1680" s="5"/>
    </row>
    <row r="1681" customFormat="1" spans="7:8">
      <c r="G1681" s="5"/>
      <c r="H1681" s="5"/>
    </row>
    <row r="1682" customFormat="1" spans="7:8">
      <c r="G1682" s="5"/>
      <c r="H1682" s="5"/>
    </row>
    <row r="1683" customFormat="1" spans="7:8">
      <c r="G1683" s="5"/>
      <c r="H1683" s="5"/>
    </row>
    <row r="1684" customFormat="1" spans="7:8">
      <c r="G1684" s="5"/>
      <c r="H1684" s="5"/>
    </row>
    <row r="1685" customFormat="1" spans="7:8">
      <c r="G1685" s="5"/>
      <c r="H1685" s="5"/>
    </row>
    <row r="1686" customFormat="1" spans="7:8">
      <c r="G1686" s="5"/>
      <c r="H1686" s="5"/>
    </row>
    <row r="1687" customFormat="1" spans="7:8">
      <c r="G1687" s="5"/>
      <c r="H1687" s="5"/>
    </row>
    <row r="1688" customFormat="1" spans="7:8">
      <c r="G1688" s="5"/>
      <c r="H1688" s="5"/>
    </row>
    <row r="1689" customFormat="1" spans="7:8">
      <c r="G1689" s="5"/>
      <c r="H1689" s="5"/>
    </row>
    <row r="1690" customFormat="1" spans="7:8">
      <c r="G1690" s="5"/>
      <c r="H1690" s="5"/>
    </row>
    <row r="1691" customFormat="1" spans="7:8">
      <c r="G1691" s="5"/>
      <c r="H1691" s="5"/>
    </row>
    <row r="1692" customFormat="1" spans="7:8">
      <c r="G1692" s="5"/>
      <c r="H1692" s="5"/>
    </row>
    <row r="1693" customFormat="1" spans="7:8">
      <c r="G1693" s="5"/>
      <c r="H1693" s="5"/>
    </row>
    <row r="1694" customFormat="1" spans="7:8">
      <c r="G1694" s="5"/>
      <c r="H1694" s="5"/>
    </row>
    <row r="1695" customFormat="1" spans="7:8">
      <c r="G1695" s="5"/>
      <c r="H1695" s="5"/>
    </row>
    <row r="1696" customFormat="1" spans="7:8">
      <c r="G1696" s="5"/>
      <c r="H1696" s="5"/>
    </row>
    <row r="1697" customFormat="1" spans="7:8">
      <c r="G1697" s="5"/>
      <c r="H1697" s="5"/>
    </row>
    <row r="1698" customFormat="1" spans="7:8">
      <c r="G1698" s="5"/>
      <c r="H1698" s="5"/>
    </row>
    <row r="1699" customFormat="1" spans="7:8">
      <c r="G1699" s="5"/>
      <c r="H1699" s="5"/>
    </row>
    <row r="1700" customFormat="1" spans="7:8">
      <c r="G1700" s="5"/>
      <c r="H1700" s="5"/>
    </row>
    <row r="1701" customFormat="1" spans="7:8">
      <c r="G1701" s="5"/>
      <c r="H1701" s="5"/>
    </row>
    <row r="1702" customFormat="1" spans="7:8">
      <c r="G1702" s="5"/>
      <c r="H1702" s="5"/>
    </row>
    <row r="1703" customFormat="1" spans="7:8">
      <c r="G1703" s="5"/>
      <c r="H1703" s="5"/>
    </row>
    <row r="1704" customFormat="1" spans="7:8">
      <c r="G1704" s="5"/>
      <c r="H1704" s="5"/>
    </row>
    <row r="1705" customFormat="1" spans="7:8">
      <c r="G1705" s="5"/>
      <c r="H1705" s="5"/>
    </row>
    <row r="1706" customFormat="1" spans="7:8">
      <c r="G1706" s="5"/>
      <c r="H1706" s="5"/>
    </row>
    <row r="1707" customFormat="1" spans="7:8">
      <c r="G1707" s="5"/>
      <c r="H1707" s="5"/>
    </row>
    <row r="1708" customFormat="1" spans="7:8">
      <c r="G1708" s="5"/>
      <c r="H1708" s="5"/>
    </row>
    <row r="1709" customFormat="1" spans="7:8">
      <c r="G1709" s="5"/>
      <c r="H1709" s="5"/>
    </row>
    <row r="1710" customFormat="1" spans="7:8">
      <c r="G1710" s="5"/>
      <c r="H1710" s="5"/>
    </row>
    <row r="1711" customFormat="1" spans="7:8">
      <c r="G1711" s="5"/>
      <c r="H1711" s="5"/>
    </row>
    <row r="1712" customFormat="1" spans="7:8">
      <c r="G1712" s="5"/>
      <c r="H1712" s="5"/>
    </row>
    <row r="1713" customFormat="1" spans="7:8">
      <c r="G1713" s="5"/>
      <c r="H1713" s="5"/>
    </row>
    <row r="1714" customFormat="1" spans="7:8">
      <c r="G1714" s="5"/>
      <c r="H1714" s="5"/>
    </row>
    <row r="1715" customFormat="1" spans="7:8">
      <c r="G1715" s="5"/>
      <c r="H1715" s="5"/>
    </row>
    <row r="1716" customFormat="1" spans="7:8">
      <c r="G1716" s="5"/>
      <c r="H1716" s="5"/>
    </row>
    <row r="1717" customFormat="1" spans="7:8">
      <c r="G1717" s="5"/>
      <c r="H1717" s="5"/>
    </row>
    <row r="1718" customFormat="1" spans="7:8">
      <c r="G1718" s="5"/>
      <c r="H1718" s="5"/>
    </row>
    <row r="1719" customFormat="1" spans="7:8">
      <c r="G1719" s="5"/>
      <c r="H1719" s="5"/>
    </row>
    <row r="1720" customFormat="1" spans="7:8">
      <c r="G1720" s="5"/>
      <c r="H1720" s="5"/>
    </row>
    <row r="1721" customFormat="1" spans="7:8">
      <c r="G1721" s="5"/>
      <c r="H1721" s="5"/>
    </row>
    <row r="1722" customFormat="1" spans="7:8">
      <c r="G1722" s="5"/>
      <c r="H1722" s="5"/>
    </row>
    <row r="1723" customFormat="1" spans="7:8">
      <c r="G1723" s="5"/>
      <c r="H1723" s="5"/>
    </row>
    <row r="1724" customFormat="1" spans="7:8">
      <c r="G1724" s="5"/>
      <c r="H1724" s="5"/>
    </row>
    <row r="1725" customFormat="1" spans="7:8">
      <c r="G1725" s="5"/>
      <c r="H1725" s="5"/>
    </row>
    <row r="1726" customFormat="1" spans="7:8">
      <c r="G1726" s="5"/>
      <c r="H1726" s="5"/>
    </row>
    <row r="1727" customFormat="1" spans="7:8">
      <c r="G1727" s="5"/>
      <c r="H1727" s="5"/>
    </row>
    <row r="1728" customFormat="1" spans="7:8">
      <c r="G1728" s="5"/>
      <c r="H1728" s="5"/>
    </row>
    <row r="1729" customFormat="1" spans="7:8">
      <c r="G1729" s="5"/>
      <c r="H1729" s="5"/>
    </row>
    <row r="1730" customFormat="1" spans="7:8">
      <c r="G1730" s="5"/>
      <c r="H1730" s="5"/>
    </row>
    <row r="1731" customFormat="1" spans="7:8">
      <c r="G1731" s="5"/>
      <c r="H1731" s="5"/>
    </row>
    <row r="1732" customFormat="1" spans="7:8">
      <c r="G1732" s="5"/>
      <c r="H1732" s="5"/>
    </row>
    <row r="1733" customFormat="1" spans="7:8">
      <c r="G1733" s="5"/>
      <c r="H1733" s="5"/>
    </row>
    <row r="1734" customFormat="1" spans="7:8">
      <c r="G1734" s="5"/>
      <c r="H1734" s="5"/>
    </row>
    <row r="1735" customFormat="1" spans="7:8">
      <c r="G1735" s="5"/>
      <c r="H1735" s="5"/>
    </row>
    <row r="1736" customFormat="1" spans="7:8">
      <c r="G1736" s="5"/>
      <c r="H1736" s="5"/>
    </row>
    <row r="1737" customFormat="1" spans="7:8">
      <c r="G1737" s="5"/>
      <c r="H1737" s="5"/>
    </row>
    <row r="1738" customFormat="1" spans="7:8">
      <c r="G1738" s="5"/>
      <c r="H1738" s="5"/>
    </row>
    <row r="1739" customFormat="1" spans="7:8">
      <c r="G1739" s="5"/>
      <c r="H1739" s="5"/>
    </row>
    <row r="1740" customFormat="1" spans="7:8">
      <c r="G1740" s="5"/>
      <c r="H1740" s="5"/>
    </row>
    <row r="1741" customFormat="1" spans="7:8">
      <c r="G1741" s="5"/>
      <c r="H1741" s="5"/>
    </row>
    <row r="1742" customFormat="1" spans="7:8">
      <c r="G1742" s="5"/>
      <c r="H1742" s="5"/>
    </row>
    <row r="1743" customFormat="1" spans="7:8">
      <c r="G1743" s="5"/>
      <c r="H1743" s="5"/>
    </row>
    <row r="1744" customFormat="1" spans="7:8">
      <c r="G1744" s="5"/>
      <c r="H1744" s="5"/>
    </row>
    <row r="1745" customFormat="1" spans="7:8">
      <c r="G1745" s="5"/>
      <c r="H1745" s="5"/>
    </row>
    <row r="1746" customFormat="1" spans="7:8">
      <c r="G1746" s="5"/>
      <c r="H1746" s="5"/>
    </row>
    <row r="1747" customFormat="1" spans="7:8">
      <c r="G1747" s="5"/>
      <c r="H1747" s="5"/>
    </row>
    <row r="1748" customFormat="1" spans="7:8">
      <c r="G1748" s="5"/>
      <c r="H1748" s="5"/>
    </row>
    <row r="1749" customFormat="1" spans="7:8">
      <c r="G1749" s="5"/>
      <c r="H1749" s="5"/>
    </row>
    <row r="1750" customFormat="1" spans="7:8">
      <c r="G1750" s="5"/>
      <c r="H1750" s="5"/>
    </row>
    <row r="1751" customFormat="1" spans="7:8">
      <c r="G1751" s="5"/>
      <c r="H1751" s="5"/>
    </row>
    <row r="1752" customFormat="1" spans="7:8">
      <c r="G1752" s="5"/>
      <c r="H1752" s="5"/>
    </row>
    <row r="1753" customFormat="1" spans="7:8">
      <c r="G1753" s="5"/>
      <c r="H1753" s="5"/>
    </row>
    <row r="1754" customFormat="1" spans="7:8">
      <c r="G1754" s="5"/>
      <c r="H1754" s="5"/>
    </row>
    <row r="1755" customFormat="1" spans="7:8">
      <c r="G1755" s="5"/>
      <c r="H1755" s="5"/>
    </row>
    <row r="1756" customFormat="1" spans="7:8">
      <c r="G1756" s="5"/>
      <c r="H1756" s="5"/>
    </row>
    <row r="1757" customFormat="1" spans="7:8">
      <c r="G1757" s="5"/>
      <c r="H1757" s="5"/>
    </row>
    <row r="1758" customFormat="1" spans="7:8">
      <c r="G1758" s="5"/>
      <c r="H1758" s="5"/>
    </row>
    <row r="1759" customFormat="1" spans="7:8">
      <c r="G1759" s="5"/>
      <c r="H1759" s="5"/>
    </row>
    <row r="1760" customFormat="1" spans="7:8">
      <c r="G1760" s="5"/>
      <c r="H1760" s="5"/>
    </row>
    <row r="1761" customFormat="1" spans="7:8">
      <c r="G1761" s="5"/>
      <c r="H1761" s="5"/>
    </row>
    <row r="1762" customFormat="1" spans="7:8">
      <c r="G1762" s="5"/>
      <c r="H1762" s="5"/>
    </row>
    <row r="1763" customFormat="1" spans="7:8">
      <c r="G1763" s="5"/>
      <c r="H1763" s="5"/>
    </row>
    <row r="1764" customFormat="1" spans="7:8">
      <c r="G1764" s="5"/>
      <c r="H1764" s="5"/>
    </row>
    <row r="1765" customFormat="1" spans="7:8">
      <c r="G1765" s="5"/>
      <c r="H1765" s="5"/>
    </row>
    <row r="1766" customFormat="1" spans="7:8">
      <c r="G1766" s="5"/>
      <c r="H1766" s="5"/>
    </row>
    <row r="1767" customFormat="1" spans="7:8">
      <c r="G1767" s="5"/>
      <c r="H1767" s="5"/>
    </row>
    <row r="1768" customFormat="1" spans="7:8">
      <c r="G1768" s="5"/>
      <c r="H1768" s="5"/>
    </row>
    <row r="1769" customFormat="1" spans="7:8">
      <c r="G1769" s="5"/>
      <c r="H1769" s="5"/>
    </row>
    <row r="1770" customFormat="1" spans="7:8">
      <c r="G1770" s="5"/>
      <c r="H1770" s="5"/>
    </row>
    <row r="1771" customFormat="1" spans="7:8">
      <c r="G1771" s="5"/>
      <c r="H1771" s="5"/>
    </row>
    <row r="1772" customFormat="1" spans="7:8">
      <c r="G1772" s="5"/>
      <c r="H1772" s="5"/>
    </row>
    <row r="1773" customFormat="1" spans="7:8">
      <c r="G1773" s="5"/>
      <c r="H1773" s="5"/>
    </row>
    <row r="1774" customFormat="1" spans="7:8">
      <c r="G1774" s="5"/>
      <c r="H1774" s="5"/>
    </row>
    <row r="1775" customFormat="1" spans="7:8">
      <c r="G1775" s="5"/>
      <c r="H1775" s="5"/>
    </row>
    <row r="1776" customFormat="1" spans="7:8">
      <c r="G1776" s="5"/>
      <c r="H1776" s="5"/>
    </row>
    <row r="1777" customFormat="1" spans="7:8">
      <c r="G1777" s="5"/>
      <c r="H1777" s="5"/>
    </row>
    <row r="1778" customFormat="1" spans="7:8">
      <c r="G1778" s="5"/>
      <c r="H1778" s="5"/>
    </row>
    <row r="1779" customFormat="1" spans="7:8">
      <c r="G1779" s="5"/>
      <c r="H1779" s="5"/>
    </row>
    <row r="1780" customFormat="1" spans="7:8">
      <c r="G1780" s="5"/>
      <c r="H1780" s="5"/>
    </row>
    <row r="1781" customFormat="1" spans="7:8">
      <c r="G1781" s="5"/>
      <c r="H1781" s="5"/>
    </row>
    <row r="1782" customFormat="1" spans="7:8">
      <c r="G1782" s="5"/>
      <c r="H1782" s="5"/>
    </row>
    <row r="1783" customFormat="1" spans="7:8">
      <c r="G1783" s="5"/>
      <c r="H1783" s="5"/>
    </row>
    <row r="1784" customFormat="1" spans="7:8">
      <c r="G1784" s="5"/>
      <c r="H1784" s="5"/>
    </row>
    <row r="1785" customFormat="1" spans="7:8">
      <c r="G1785" s="5"/>
      <c r="H1785" s="5"/>
    </row>
    <row r="1786" customFormat="1" spans="7:8">
      <c r="G1786" s="5"/>
      <c r="H1786" s="5"/>
    </row>
    <row r="1787" customFormat="1" spans="7:8">
      <c r="G1787" s="5"/>
      <c r="H1787" s="5"/>
    </row>
    <row r="1788" customFormat="1" spans="7:8">
      <c r="G1788" s="5"/>
      <c r="H1788" s="5"/>
    </row>
    <row r="1789" customFormat="1" spans="7:8">
      <c r="G1789" s="5"/>
      <c r="H1789" s="5"/>
    </row>
    <row r="1790" customFormat="1" spans="7:8">
      <c r="G1790" s="5"/>
      <c r="H1790" s="5"/>
    </row>
    <row r="1791" customFormat="1" spans="7:8">
      <c r="G1791" s="5"/>
      <c r="H1791" s="5"/>
    </row>
    <row r="1792" customFormat="1" spans="7:8">
      <c r="G1792" s="5"/>
      <c r="H1792" s="5"/>
    </row>
    <row r="1793" customFormat="1" spans="7:8">
      <c r="G1793" s="5"/>
      <c r="H1793" s="5"/>
    </row>
    <row r="1794" customFormat="1" spans="7:8">
      <c r="G1794" s="5"/>
      <c r="H1794" s="5"/>
    </row>
    <row r="1795" customFormat="1" spans="7:8">
      <c r="G1795" s="5"/>
      <c r="H1795" s="5"/>
    </row>
    <row r="1796" customFormat="1" spans="7:8">
      <c r="G1796" s="5"/>
      <c r="H1796" s="5"/>
    </row>
    <row r="1797" customFormat="1" spans="7:8">
      <c r="G1797" s="5"/>
      <c r="H1797" s="5"/>
    </row>
    <row r="1798" customFormat="1" spans="7:8">
      <c r="G1798" s="5"/>
      <c r="H1798" s="5"/>
    </row>
    <row r="1799" customFormat="1" spans="7:8">
      <c r="G1799" s="5"/>
      <c r="H1799" s="5"/>
    </row>
    <row r="1800" customFormat="1" spans="7:8">
      <c r="G1800" s="5"/>
      <c r="H1800" s="5"/>
    </row>
    <row r="1801" customFormat="1" spans="7:8">
      <c r="G1801" s="5"/>
      <c r="H1801" s="5"/>
    </row>
    <row r="1802" customFormat="1" spans="7:8">
      <c r="G1802" s="5"/>
      <c r="H1802" s="5"/>
    </row>
    <row r="1803" customFormat="1" spans="7:8">
      <c r="G1803" s="5"/>
      <c r="H1803" s="5"/>
    </row>
    <row r="1804" customFormat="1" spans="7:8">
      <c r="G1804" s="5"/>
      <c r="H1804" s="5"/>
    </row>
    <row r="1805" customFormat="1" spans="7:8">
      <c r="G1805" s="5"/>
      <c r="H1805" s="5"/>
    </row>
    <row r="1806" customFormat="1" spans="7:8">
      <c r="G1806" s="5"/>
      <c r="H1806" s="5"/>
    </row>
    <row r="1807" customFormat="1" spans="7:8">
      <c r="G1807" s="5"/>
      <c r="H1807" s="5"/>
    </row>
    <row r="1808" customFormat="1" spans="7:8">
      <c r="G1808" s="5"/>
      <c r="H1808" s="5"/>
    </row>
    <row r="1809" customFormat="1" spans="7:8">
      <c r="G1809" s="5"/>
      <c r="H1809" s="5"/>
    </row>
    <row r="1810" customFormat="1" spans="7:8">
      <c r="G1810" s="5"/>
      <c r="H1810" s="5"/>
    </row>
    <row r="1811" customFormat="1" spans="7:8">
      <c r="G1811" s="5"/>
      <c r="H1811" s="5"/>
    </row>
    <row r="1812" customFormat="1" spans="7:8">
      <c r="G1812" s="5"/>
      <c r="H1812" s="5"/>
    </row>
    <row r="1813" customFormat="1" spans="7:8">
      <c r="G1813" s="5"/>
      <c r="H1813" s="5"/>
    </row>
    <row r="1814" customFormat="1" spans="7:8">
      <c r="G1814" s="5"/>
      <c r="H1814" s="5"/>
    </row>
    <row r="1815" customFormat="1" spans="7:8">
      <c r="G1815" s="5"/>
      <c r="H1815" s="5"/>
    </row>
    <row r="1816" customFormat="1" spans="7:8">
      <c r="G1816" s="5"/>
      <c r="H1816" s="5"/>
    </row>
    <row r="1817" customFormat="1" spans="7:8">
      <c r="G1817" s="5"/>
      <c r="H1817" s="5"/>
    </row>
    <row r="1818" customFormat="1" spans="7:8">
      <c r="G1818" s="5"/>
      <c r="H1818" s="5"/>
    </row>
    <row r="1819" customFormat="1" spans="7:8">
      <c r="G1819" s="5"/>
      <c r="H1819" s="5"/>
    </row>
    <row r="1820" customFormat="1" spans="7:8">
      <c r="G1820" s="5"/>
      <c r="H1820" s="5"/>
    </row>
    <row r="1821" customFormat="1" spans="7:8">
      <c r="G1821" s="5"/>
      <c r="H1821" s="5"/>
    </row>
    <row r="1822" customFormat="1" spans="7:8">
      <c r="G1822" s="5"/>
      <c r="H1822" s="5"/>
    </row>
    <row r="1823" customFormat="1" spans="7:8">
      <c r="G1823" s="5"/>
      <c r="H1823" s="5"/>
    </row>
    <row r="1824" customFormat="1" spans="7:8">
      <c r="G1824" s="5"/>
      <c r="H1824" s="5"/>
    </row>
    <row r="1825" customFormat="1" spans="7:8">
      <c r="G1825" s="5"/>
      <c r="H1825" s="5"/>
    </row>
    <row r="1826" customFormat="1" spans="7:8">
      <c r="G1826" s="5"/>
      <c r="H1826" s="5"/>
    </row>
    <row r="1827" customFormat="1" spans="7:8">
      <c r="G1827" s="5"/>
      <c r="H1827" s="5"/>
    </row>
    <row r="1828" customFormat="1" spans="7:8">
      <c r="G1828" s="5"/>
      <c r="H1828" s="5"/>
    </row>
    <row r="1829" customFormat="1" spans="7:8">
      <c r="G1829" s="5"/>
      <c r="H1829" s="5"/>
    </row>
    <row r="1830" customFormat="1" spans="7:8">
      <c r="G1830" s="5"/>
      <c r="H1830" s="5"/>
    </row>
    <row r="1831" customFormat="1" spans="7:8">
      <c r="G1831" s="5"/>
      <c r="H1831" s="5"/>
    </row>
    <row r="1832" customFormat="1" spans="7:8">
      <c r="G1832" s="5"/>
      <c r="H1832" s="5"/>
    </row>
    <row r="1833" customFormat="1" spans="7:8">
      <c r="G1833" s="5"/>
      <c r="H1833" s="5"/>
    </row>
    <row r="1834" customFormat="1" spans="7:8">
      <c r="G1834" s="5"/>
      <c r="H1834" s="5"/>
    </row>
    <row r="1835" customFormat="1" spans="7:8">
      <c r="G1835" s="5"/>
      <c r="H1835" s="5"/>
    </row>
    <row r="1836" customFormat="1" spans="7:8">
      <c r="G1836" s="5"/>
      <c r="H1836" s="5"/>
    </row>
    <row r="1837" customFormat="1" spans="7:8">
      <c r="G1837" s="5"/>
      <c r="H1837" s="5"/>
    </row>
    <row r="1838" customFormat="1" spans="7:8">
      <c r="G1838" s="5"/>
      <c r="H1838" s="5"/>
    </row>
    <row r="1839" customFormat="1" spans="7:8">
      <c r="G1839" s="5"/>
      <c r="H1839" s="5"/>
    </row>
    <row r="1840" customFormat="1" spans="7:8">
      <c r="G1840" s="5"/>
      <c r="H1840" s="5"/>
    </row>
    <row r="1841" customFormat="1" spans="7:8">
      <c r="G1841" s="5"/>
      <c r="H1841" s="5"/>
    </row>
    <row r="1842" customFormat="1" spans="7:8">
      <c r="G1842" s="5"/>
      <c r="H1842" s="5"/>
    </row>
    <row r="1843" customFormat="1" spans="7:8">
      <c r="G1843" s="5"/>
      <c r="H1843" s="5"/>
    </row>
    <row r="1844" customFormat="1" spans="7:8">
      <c r="G1844" s="5"/>
      <c r="H1844" s="5"/>
    </row>
    <row r="1845" customFormat="1" spans="7:8">
      <c r="G1845" s="5"/>
      <c r="H1845" s="5"/>
    </row>
    <row r="1846" customFormat="1" spans="7:8">
      <c r="G1846" s="5"/>
      <c r="H1846" s="5"/>
    </row>
    <row r="1847" customFormat="1" spans="7:8">
      <c r="G1847" s="5"/>
      <c r="H1847" s="5"/>
    </row>
    <row r="1848" customFormat="1" spans="7:8">
      <c r="G1848" s="5"/>
      <c r="H1848" s="5"/>
    </row>
    <row r="1849" customFormat="1" spans="7:8">
      <c r="G1849" s="5"/>
      <c r="H1849" s="5"/>
    </row>
    <row r="1850" customFormat="1" spans="7:8">
      <c r="G1850" s="5"/>
      <c r="H1850" s="5"/>
    </row>
    <row r="1851" customFormat="1" spans="7:8">
      <c r="G1851" s="5"/>
      <c r="H1851" s="5"/>
    </row>
    <row r="1852" customFormat="1" spans="7:8">
      <c r="G1852" s="5"/>
      <c r="H1852" s="5"/>
    </row>
    <row r="1853" customFormat="1" spans="7:8">
      <c r="G1853" s="5"/>
      <c r="H1853" s="5"/>
    </row>
    <row r="1854" customFormat="1" spans="7:8">
      <c r="G1854" s="5"/>
      <c r="H1854" s="5"/>
    </row>
    <row r="1855" customFormat="1" spans="7:8">
      <c r="G1855" s="5"/>
      <c r="H1855" s="5"/>
    </row>
    <row r="1856" customFormat="1" spans="7:8">
      <c r="G1856" s="5"/>
      <c r="H1856" s="5"/>
    </row>
    <row r="1857" customFormat="1" spans="7:8">
      <c r="G1857" s="5"/>
      <c r="H1857" s="5"/>
    </row>
    <row r="1858" customFormat="1" spans="7:8">
      <c r="G1858" s="5"/>
      <c r="H1858" s="5"/>
    </row>
    <row r="1859" customFormat="1" spans="7:8">
      <c r="G1859" s="5"/>
      <c r="H1859" s="5"/>
    </row>
    <row r="1860" customFormat="1" spans="7:8">
      <c r="G1860" s="5"/>
      <c r="H1860" s="5"/>
    </row>
    <row r="1861" customFormat="1" spans="7:8">
      <c r="G1861" s="5"/>
      <c r="H1861" s="5"/>
    </row>
    <row r="1862" customFormat="1" spans="7:8">
      <c r="G1862" s="5"/>
      <c r="H1862" s="5"/>
    </row>
    <row r="1863" customFormat="1" spans="7:8">
      <c r="G1863" s="5"/>
      <c r="H1863" s="5"/>
    </row>
    <row r="1864" customFormat="1" spans="7:8">
      <c r="G1864" s="5"/>
      <c r="H1864" s="5"/>
    </row>
    <row r="1865" customFormat="1" spans="7:8">
      <c r="G1865" s="5"/>
      <c r="H1865" s="5"/>
    </row>
    <row r="1866" customFormat="1" spans="7:8">
      <c r="G1866" s="5"/>
      <c r="H1866" s="5"/>
    </row>
    <row r="1867" customFormat="1" spans="7:8">
      <c r="G1867" s="5"/>
      <c r="H1867" s="5"/>
    </row>
    <row r="1868" customFormat="1" spans="7:8">
      <c r="G1868" s="5"/>
      <c r="H1868" s="5"/>
    </row>
    <row r="1869" customFormat="1" spans="7:8">
      <c r="G1869" s="5"/>
      <c r="H1869" s="5"/>
    </row>
    <row r="1870" customFormat="1" spans="7:8">
      <c r="G1870" s="5"/>
      <c r="H1870" s="5"/>
    </row>
    <row r="1871" customFormat="1" spans="7:8">
      <c r="G1871" s="5"/>
      <c r="H1871" s="5"/>
    </row>
    <row r="1872" customFormat="1" spans="7:8">
      <c r="G1872" s="5"/>
      <c r="H1872" s="5"/>
    </row>
    <row r="1873" customFormat="1" spans="7:8">
      <c r="G1873" s="5"/>
      <c r="H1873" s="5"/>
    </row>
    <row r="1874" customFormat="1" spans="7:8">
      <c r="G1874" s="5"/>
      <c r="H1874" s="5"/>
    </row>
    <row r="1875" customFormat="1" spans="7:8">
      <c r="G1875" s="5"/>
      <c r="H1875" s="5"/>
    </row>
    <row r="1876" customFormat="1" spans="7:8">
      <c r="G1876" s="5"/>
      <c r="H1876" s="5"/>
    </row>
    <row r="1877" customFormat="1" spans="7:8">
      <c r="G1877" s="5"/>
      <c r="H1877" s="5"/>
    </row>
    <row r="1878" customFormat="1" spans="7:8">
      <c r="G1878" s="5"/>
      <c r="H1878" s="5"/>
    </row>
    <row r="1879" customFormat="1" spans="7:8">
      <c r="G1879" s="5"/>
      <c r="H1879" s="5"/>
    </row>
    <row r="1880" customFormat="1" spans="7:8">
      <c r="G1880" s="5"/>
      <c r="H1880" s="5"/>
    </row>
    <row r="1881" customFormat="1" spans="7:8">
      <c r="G1881" s="5"/>
      <c r="H1881" s="5"/>
    </row>
    <row r="1882" customFormat="1" spans="7:8">
      <c r="G1882" s="5"/>
      <c r="H1882" s="5"/>
    </row>
    <row r="1883" customFormat="1" spans="7:8">
      <c r="G1883" s="5"/>
      <c r="H1883" s="5"/>
    </row>
    <row r="1884" customFormat="1" spans="7:8">
      <c r="G1884" s="5"/>
      <c r="H1884" s="5"/>
    </row>
    <row r="1885" customFormat="1" spans="7:8">
      <c r="G1885" s="5"/>
      <c r="H1885" s="5"/>
    </row>
    <row r="1886" customFormat="1" spans="7:8">
      <c r="G1886" s="5"/>
      <c r="H1886" s="5"/>
    </row>
    <row r="1887" customFormat="1" spans="7:8">
      <c r="G1887" s="5"/>
      <c r="H1887" s="5"/>
    </row>
    <row r="1888" customFormat="1" spans="7:8">
      <c r="G1888" s="5"/>
      <c r="H1888" s="5"/>
    </row>
    <row r="1889" customFormat="1" spans="7:8">
      <c r="G1889" s="5"/>
      <c r="H1889" s="5"/>
    </row>
    <row r="1890" customFormat="1" spans="7:8">
      <c r="G1890" s="5"/>
      <c r="H1890" s="5"/>
    </row>
    <row r="1891" customFormat="1" spans="7:8">
      <c r="G1891" s="5"/>
      <c r="H1891" s="5"/>
    </row>
    <row r="1892" customFormat="1" spans="7:8">
      <c r="G1892" s="5"/>
      <c r="H1892" s="5"/>
    </row>
    <row r="1893" customFormat="1" spans="7:8">
      <c r="G1893" s="5"/>
      <c r="H1893" s="5"/>
    </row>
    <row r="1894" customFormat="1" spans="7:8">
      <c r="G1894" s="5"/>
      <c r="H1894" s="5"/>
    </row>
    <row r="1895" customFormat="1" spans="7:8">
      <c r="G1895" s="5"/>
      <c r="H1895" s="5"/>
    </row>
    <row r="1896" customFormat="1" spans="7:8">
      <c r="G1896" s="5"/>
      <c r="H1896" s="5"/>
    </row>
    <row r="1897" customFormat="1" spans="7:8">
      <c r="G1897" s="5"/>
      <c r="H1897" s="5"/>
    </row>
    <row r="1898" customFormat="1" spans="7:8">
      <c r="G1898" s="5"/>
      <c r="H1898" s="5"/>
    </row>
    <row r="1899" customFormat="1" spans="7:8">
      <c r="G1899" s="5"/>
      <c r="H1899" s="5"/>
    </row>
    <row r="1900" customFormat="1" spans="7:8">
      <c r="G1900" s="5"/>
      <c r="H1900" s="5"/>
    </row>
    <row r="1901" customFormat="1" spans="7:8">
      <c r="G1901" s="5"/>
      <c r="H1901" s="5"/>
    </row>
    <row r="1902" customFormat="1" spans="7:8">
      <c r="G1902" s="5"/>
      <c r="H1902" s="5"/>
    </row>
    <row r="1903" customFormat="1" spans="7:8">
      <c r="G1903" s="5"/>
      <c r="H1903" s="5"/>
    </row>
    <row r="1904" customFormat="1" spans="7:8">
      <c r="G1904" s="5"/>
      <c r="H1904" s="5"/>
    </row>
    <row r="1905" customFormat="1" spans="7:8">
      <c r="G1905" s="5"/>
      <c r="H1905" s="5"/>
    </row>
    <row r="1906" customFormat="1" spans="7:8">
      <c r="G1906" s="5"/>
      <c r="H1906" s="5"/>
    </row>
    <row r="1907" customFormat="1" spans="7:8">
      <c r="G1907" s="5"/>
      <c r="H1907" s="5"/>
    </row>
    <row r="1908" customFormat="1" spans="7:8">
      <c r="G1908" s="5"/>
      <c r="H1908" s="5"/>
    </row>
    <row r="1909" customFormat="1" spans="7:8">
      <c r="G1909" s="5"/>
      <c r="H1909" s="5"/>
    </row>
    <row r="1910" customFormat="1" spans="7:8">
      <c r="G1910" s="5"/>
      <c r="H1910" s="5"/>
    </row>
    <row r="1911" customFormat="1" spans="7:8">
      <c r="G1911" s="5"/>
      <c r="H1911" s="5"/>
    </row>
    <row r="1912" customFormat="1" spans="7:8">
      <c r="G1912" s="5"/>
      <c r="H1912" s="5"/>
    </row>
    <row r="1913" customFormat="1" spans="7:8">
      <c r="G1913" s="5"/>
      <c r="H1913" s="5"/>
    </row>
    <row r="1914" customFormat="1" spans="7:8">
      <c r="G1914" s="5"/>
      <c r="H1914" s="5"/>
    </row>
    <row r="1915" customFormat="1" spans="7:8">
      <c r="G1915" s="5"/>
      <c r="H1915" s="5"/>
    </row>
    <row r="1916" customFormat="1" spans="7:8">
      <c r="G1916" s="5"/>
      <c r="H1916" s="5"/>
    </row>
    <row r="1917" customFormat="1" spans="7:8">
      <c r="G1917" s="5"/>
      <c r="H1917" s="5"/>
    </row>
    <row r="1918" customFormat="1" spans="7:8">
      <c r="G1918" s="5"/>
      <c r="H1918" s="5"/>
    </row>
    <row r="1919" customFormat="1" spans="7:8">
      <c r="G1919" s="5"/>
      <c r="H1919" s="5"/>
    </row>
    <row r="1920" customFormat="1" spans="7:8">
      <c r="G1920" s="5"/>
      <c r="H1920" s="5"/>
    </row>
    <row r="1921" customFormat="1" spans="7:8">
      <c r="G1921" s="5"/>
      <c r="H1921" s="5"/>
    </row>
    <row r="1922" customFormat="1" spans="7:8">
      <c r="G1922" s="5"/>
      <c r="H1922" s="5"/>
    </row>
    <row r="1923" customFormat="1" spans="7:8">
      <c r="G1923" s="5"/>
      <c r="H1923" s="5"/>
    </row>
    <row r="1924" customFormat="1" spans="7:8">
      <c r="G1924" s="5"/>
      <c r="H1924" s="5"/>
    </row>
    <row r="1925" customFormat="1" spans="7:8">
      <c r="G1925" s="5"/>
      <c r="H1925" s="5"/>
    </row>
    <row r="1926" customFormat="1" spans="7:8">
      <c r="G1926" s="5"/>
      <c r="H1926" s="5"/>
    </row>
    <row r="1927" customFormat="1" spans="7:8">
      <c r="G1927" s="5"/>
      <c r="H1927" s="5"/>
    </row>
    <row r="1928" customFormat="1" spans="7:8">
      <c r="G1928" s="5"/>
      <c r="H1928" s="5"/>
    </row>
    <row r="1929" customFormat="1" spans="7:8">
      <c r="G1929" s="5"/>
      <c r="H1929" s="5"/>
    </row>
    <row r="1930" customFormat="1" spans="7:8">
      <c r="G1930" s="5"/>
      <c r="H1930" s="5"/>
    </row>
    <row r="1931" customFormat="1" spans="7:8">
      <c r="G1931" s="5"/>
      <c r="H1931" s="5"/>
    </row>
    <row r="1932" customFormat="1" spans="7:8">
      <c r="G1932" s="5"/>
      <c r="H1932" s="5"/>
    </row>
    <row r="1933" customFormat="1" spans="7:8">
      <c r="G1933" s="5"/>
      <c r="H1933" s="5"/>
    </row>
    <row r="1934" customFormat="1" spans="7:8">
      <c r="G1934" s="5"/>
      <c r="H1934" s="5"/>
    </row>
    <row r="1935" customFormat="1" spans="7:8">
      <c r="G1935" s="5"/>
      <c r="H1935" s="5"/>
    </row>
    <row r="1936" customFormat="1" spans="7:8">
      <c r="G1936" s="5"/>
      <c r="H1936" s="5"/>
    </row>
    <row r="1937" customFormat="1" spans="7:8">
      <c r="G1937" s="5"/>
      <c r="H1937" s="5"/>
    </row>
    <row r="1938" customFormat="1" spans="7:8">
      <c r="G1938" s="5"/>
      <c r="H1938" s="5"/>
    </row>
    <row r="1939" customFormat="1" spans="7:8">
      <c r="G1939" s="5"/>
      <c r="H1939" s="5"/>
    </row>
    <row r="1940" customFormat="1" spans="7:8">
      <c r="G1940" s="5"/>
      <c r="H1940" s="5"/>
    </row>
    <row r="1941" customFormat="1" spans="7:8">
      <c r="G1941" s="5"/>
      <c r="H1941" s="5"/>
    </row>
    <row r="1942" customFormat="1" spans="7:8">
      <c r="G1942" s="5"/>
      <c r="H1942" s="5"/>
    </row>
    <row r="1943" customFormat="1" spans="7:8">
      <c r="G1943" s="5"/>
      <c r="H1943" s="5"/>
    </row>
    <row r="1944" customFormat="1" spans="7:8">
      <c r="G1944" s="5"/>
      <c r="H1944" s="5"/>
    </row>
    <row r="1945" customFormat="1" spans="7:8">
      <c r="G1945" s="5"/>
      <c r="H1945" s="5"/>
    </row>
    <row r="1946" customFormat="1" spans="7:8">
      <c r="G1946" s="5"/>
      <c r="H1946" s="5"/>
    </row>
    <row r="1947" customFormat="1" spans="7:8">
      <c r="G1947" s="5"/>
      <c r="H1947" s="5"/>
    </row>
    <row r="1948" customFormat="1" spans="7:8">
      <c r="G1948" s="5"/>
      <c r="H1948" s="5"/>
    </row>
    <row r="1949" customFormat="1" spans="7:8">
      <c r="G1949" s="5"/>
      <c r="H1949" s="5"/>
    </row>
    <row r="1950" customFormat="1" spans="7:8">
      <c r="G1950" s="5"/>
      <c r="H1950" s="5"/>
    </row>
    <row r="1951" customFormat="1" spans="7:8">
      <c r="G1951" s="5"/>
      <c r="H1951" s="5"/>
    </row>
    <row r="1952" customFormat="1" spans="7:8">
      <c r="G1952" s="5"/>
      <c r="H1952" s="5"/>
    </row>
    <row r="1953" customFormat="1" spans="7:8">
      <c r="G1953" s="5"/>
      <c r="H1953" s="5"/>
    </row>
    <row r="1954" customFormat="1" spans="7:8">
      <c r="G1954" s="5"/>
      <c r="H1954" s="5"/>
    </row>
    <row r="1955" customFormat="1" spans="7:8">
      <c r="G1955" s="5"/>
      <c r="H1955" s="5"/>
    </row>
    <row r="1956" customFormat="1" spans="7:8">
      <c r="G1956" s="5"/>
      <c r="H1956" s="5"/>
    </row>
    <row r="1957" customFormat="1" spans="7:8">
      <c r="G1957" s="5"/>
      <c r="H1957" s="5"/>
    </row>
    <row r="1958" customFormat="1" spans="7:8">
      <c r="G1958" s="5"/>
      <c r="H1958" s="5"/>
    </row>
    <row r="1959" customFormat="1" spans="7:8">
      <c r="G1959" s="5"/>
      <c r="H1959" s="5"/>
    </row>
    <row r="1960" customFormat="1" spans="7:8">
      <c r="G1960" s="5"/>
      <c r="H1960" s="5"/>
    </row>
    <row r="1961" customFormat="1" spans="7:8">
      <c r="G1961" s="5"/>
      <c r="H1961" s="5"/>
    </row>
    <row r="1962" customFormat="1" spans="7:8">
      <c r="G1962" s="5"/>
      <c r="H1962" s="5"/>
    </row>
    <row r="1963" customFormat="1" spans="7:8">
      <c r="G1963" s="5"/>
      <c r="H1963" s="5"/>
    </row>
    <row r="1964" customFormat="1" spans="7:8">
      <c r="G1964" s="5"/>
      <c r="H1964" s="5"/>
    </row>
    <row r="1965" customFormat="1" spans="7:8">
      <c r="G1965" s="5"/>
      <c r="H1965" s="5"/>
    </row>
    <row r="1966" customFormat="1" spans="7:8">
      <c r="G1966" s="5"/>
      <c r="H1966" s="5"/>
    </row>
    <row r="1967" customFormat="1" spans="7:8">
      <c r="G1967" s="5"/>
      <c r="H1967" s="5"/>
    </row>
    <row r="1968" customFormat="1" spans="7:8">
      <c r="G1968" s="5"/>
      <c r="H1968" s="5"/>
    </row>
    <row r="1969" customFormat="1" spans="7:8">
      <c r="G1969" s="5"/>
      <c r="H1969" s="5"/>
    </row>
    <row r="1970" customFormat="1" spans="7:8">
      <c r="G1970" s="5"/>
      <c r="H1970" s="5"/>
    </row>
    <row r="1971" customFormat="1" spans="7:8">
      <c r="G1971" s="5"/>
      <c r="H1971" s="5"/>
    </row>
    <row r="1972" customFormat="1" spans="7:8">
      <c r="G1972" s="5"/>
      <c r="H1972" s="5"/>
    </row>
    <row r="1973" customFormat="1" spans="7:8">
      <c r="G1973" s="5"/>
      <c r="H1973" s="5"/>
    </row>
    <row r="1974" customFormat="1" spans="7:8">
      <c r="G1974" s="5"/>
      <c r="H1974" s="5"/>
    </row>
    <row r="1975" customFormat="1" spans="7:8">
      <c r="G1975" s="5"/>
      <c r="H1975" s="5"/>
    </row>
    <row r="1976" customFormat="1" spans="7:8">
      <c r="G1976" s="5"/>
      <c r="H1976" s="5"/>
    </row>
    <row r="1977" customFormat="1" spans="7:8">
      <c r="G1977" s="5"/>
      <c r="H1977" s="5"/>
    </row>
    <row r="1978" customFormat="1" spans="7:8">
      <c r="G1978" s="5"/>
      <c r="H1978" s="5"/>
    </row>
    <row r="1979" customFormat="1" spans="7:8">
      <c r="G1979" s="5"/>
      <c r="H1979" s="5"/>
    </row>
    <row r="1980" customFormat="1" spans="7:8">
      <c r="G1980" s="5"/>
      <c r="H1980" s="5"/>
    </row>
    <row r="1981" customFormat="1" spans="7:8">
      <c r="G1981" s="5"/>
      <c r="H1981" s="5"/>
    </row>
    <row r="1982" customFormat="1" spans="7:8">
      <c r="G1982" s="5"/>
      <c r="H1982" s="5"/>
    </row>
    <row r="1983" customFormat="1" spans="7:8">
      <c r="G1983" s="5"/>
      <c r="H1983" s="5"/>
    </row>
    <row r="1984" customFormat="1" spans="7:8">
      <c r="G1984" s="5"/>
      <c r="H1984" s="5"/>
    </row>
    <row r="1985" customFormat="1" spans="7:8">
      <c r="G1985" s="5"/>
      <c r="H1985" s="5"/>
    </row>
    <row r="1986" customFormat="1" spans="7:8">
      <c r="G1986" s="5"/>
      <c r="H1986" s="5"/>
    </row>
    <row r="1987" customFormat="1" spans="7:8">
      <c r="G1987" s="5"/>
      <c r="H1987" s="5"/>
    </row>
    <row r="1988" customFormat="1" spans="7:8">
      <c r="G1988" s="5"/>
      <c r="H1988" s="5"/>
    </row>
    <row r="1989" customFormat="1" spans="7:8">
      <c r="G1989" s="5"/>
      <c r="H1989" s="5"/>
    </row>
    <row r="1990" customFormat="1" spans="7:8">
      <c r="G1990" s="5"/>
      <c r="H1990" s="5"/>
    </row>
    <row r="1991" customFormat="1" spans="7:8">
      <c r="G1991" s="5"/>
      <c r="H1991" s="5"/>
    </row>
    <row r="1992" customFormat="1" spans="7:8">
      <c r="G1992" s="5"/>
      <c r="H1992" s="5"/>
    </row>
    <row r="1993" customFormat="1" spans="7:8">
      <c r="G1993" s="5"/>
      <c r="H1993" s="5"/>
    </row>
    <row r="1994" customFormat="1" spans="7:8">
      <c r="G1994" s="5"/>
      <c r="H1994" s="5"/>
    </row>
    <row r="1995" customFormat="1" spans="7:8">
      <c r="G1995" s="5"/>
      <c r="H1995" s="5"/>
    </row>
    <row r="1996" customFormat="1" spans="7:8">
      <c r="G1996" s="5"/>
      <c r="H1996" s="5"/>
    </row>
    <row r="1997" customFormat="1" spans="7:8">
      <c r="G1997" s="5"/>
      <c r="H1997" s="5"/>
    </row>
    <row r="1998" customFormat="1" spans="7:8">
      <c r="G1998" s="5"/>
      <c r="H1998" s="5"/>
    </row>
    <row r="1999" customFormat="1" spans="7:8">
      <c r="G1999" s="5"/>
      <c r="H1999" s="5"/>
    </row>
    <row r="2000" customFormat="1" spans="7:8">
      <c r="G2000" s="5"/>
      <c r="H2000" s="5"/>
    </row>
    <row r="2001" customFormat="1" spans="7:8">
      <c r="G2001" s="5"/>
      <c r="H2001" s="5"/>
    </row>
    <row r="2002" customFormat="1" spans="7:8">
      <c r="G2002" s="5"/>
      <c r="H2002" s="5"/>
    </row>
    <row r="2003" customFormat="1" spans="7:8">
      <c r="G2003" s="5"/>
      <c r="H2003" s="5"/>
    </row>
    <row r="2004" customFormat="1" spans="7:8">
      <c r="G2004" s="5"/>
      <c r="H2004" s="5"/>
    </row>
    <row r="2005" customFormat="1" spans="7:8">
      <c r="G2005" s="5"/>
      <c r="H2005" s="5"/>
    </row>
    <row r="2006" customFormat="1" spans="7:8">
      <c r="G2006" s="5"/>
      <c r="H2006" s="5"/>
    </row>
    <row r="2007" customFormat="1" spans="7:8">
      <c r="G2007" s="5"/>
      <c r="H2007" s="5"/>
    </row>
    <row r="2008" customFormat="1" spans="7:8">
      <c r="G2008" s="5"/>
      <c r="H2008" s="5"/>
    </row>
    <row r="2009" customFormat="1" spans="7:8">
      <c r="G2009" s="5"/>
      <c r="H2009" s="5"/>
    </row>
    <row r="2010" customFormat="1" spans="7:8">
      <c r="G2010" s="5"/>
      <c r="H2010" s="5"/>
    </row>
    <row r="2011" customFormat="1" spans="7:8">
      <c r="G2011" s="5"/>
      <c r="H2011" s="5"/>
    </row>
    <row r="2012" customFormat="1" spans="7:8">
      <c r="G2012" s="5"/>
      <c r="H2012" s="5"/>
    </row>
    <row r="2013" customFormat="1" spans="7:8">
      <c r="G2013" s="5"/>
      <c r="H2013" s="5"/>
    </row>
    <row r="2014" customFormat="1" spans="7:8">
      <c r="G2014" s="5"/>
      <c r="H2014" s="5"/>
    </row>
    <row r="2015" customFormat="1" spans="7:8">
      <c r="G2015" s="5"/>
      <c r="H2015" s="5"/>
    </row>
    <row r="2016" customFormat="1" spans="7:8">
      <c r="G2016" s="5"/>
      <c r="H2016" s="5"/>
    </row>
    <row r="2017" customFormat="1" spans="7:8">
      <c r="G2017" s="5"/>
      <c r="H2017" s="5"/>
    </row>
    <row r="2018" customFormat="1" spans="7:8">
      <c r="G2018" s="5"/>
      <c r="H2018" s="5"/>
    </row>
    <row r="2019" customFormat="1" spans="7:8">
      <c r="G2019" s="5"/>
      <c r="H2019" s="5"/>
    </row>
    <row r="2020" customFormat="1" spans="7:8">
      <c r="G2020" s="5"/>
      <c r="H2020" s="5"/>
    </row>
    <row r="2021" customFormat="1" spans="7:8">
      <c r="G2021" s="5"/>
      <c r="H2021" s="5"/>
    </row>
    <row r="2022" customFormat="1" spans="7:8">
      <c r="G2022" s="5"/>
      <c r="H2022" s="5"/>
    </row>
    <row r="2023" customFormat="1" spans="7:8">
      <c r="G2023" s="5"/>
      <c r="H2023" s="5"/>
    </row>
    <row r="2024" customFormat="1" spans="7:8">
      <c r="G2024" s="5"/>
      <c r="H2024" s="5"/>
    </row>
    <row r="2025" customFormat="1" spans="7:8">
      <c r="G2025" s="5"/>
      <c r="H2025" s="5"/>
    </row>
    <row r="2026" customFormat="1" spans="7:8">
      <c r="G2026" s="5"/>
      <c r="H2026" s="5"/>
    </row>
    <row r="2027" customFormat="1" spans="7:8">
      <c r="G2027" s="5"/>
      <c r="H2027" s="5"/>
    </row>
    <row r="2028" customFormat="1" spans="7:8">
      <c r="G2028" s="5"/>
      <c r="H2028" s="5"/>
    </row>
    <row r="2029" customFormat="1" spans="7:8">
      <c r="G2029" s="5"/>
      <c r="H2029" s="5"/>
    </row>
    <row r="2030" customFormat="1" spans="7:8">
      <c r="G2030" s="5"/>
      <c r="H2030" s="5"/>
    </row>
    <row r="2031" customFormat="1" spans="7:8">
      <c r="G2031" s="5"/>
      <c r="H2031" s="5"/>
    </row>
    <row r="2032" customFormat="1" spans="7:8">
      <c r="G2032" s="5"/>
      <c r="H2032" s="5"/>
    </row>
    <row r="2033" customFormat="1" spans="7:8">
      <c r="G2033" s="5"/>
      <c r="H2033" s="5"/>
    </row>
    <row r="2034" customFormat="1" spans="7:8">
      <c r="G2034" s="5"/>
      <c r="H2034" s="5"/>
    </row>
    <row r="2035" customFormat="1" spans="7:8">
      <c r="G2035" s="5"/>
      <c r="H2035" s="5"/>
    </row>
    <row r="2036" customFormat="1" spans="7:8">
      <c r="G2036" s="5"/>
      <c r="H2036" s="5"/>
    </row>
    <row r="2037" customFormat="1" spans="7:8">
      <c r="G2037" s="5"/>
      <c r="H2037" s="5"/>
    </row>
    <row r="2038" customFormat="1" spans="7:8">
      <c r="G2038" s="5"/>
      <c r="H2038" s="5"/>
    </row>
    <row r="2039" customFormat="1" spans="7:8">
      <c r="G2039" s="5"/>
      <c r="H2039" s="5"/>
    </row>
    <row r="2040" customFormat="1" spans="7:8">
      <c r="G2040" s="5"/>
      <c r="H2040" s="5"/>
    </row>
    <row r="2041" customFormat="1" spans="7:8">
      <c r="G2041" s="5"/>
      <c r="H2041" s="5"/>
    </row>
    <row r="2042" customFormat="1" spans="7:8">
      <c r="G2042" s="5"/>
      <c r="H2042" s="5"/>
    </row>
    <row r="2043" customFormat="1" spans="7:8">
      <c r="G2043" s="5"/>
      <c r="H2043" s="5"/>
    </row>
    <row r="2044" customFormat="1" spans="7:8">
      <c r="G2044" s="5"/>
      <c r="H2044" s="5"/>
    </row>
    <row r="2045" customFormat="1" spans="7:8">
      <c r="G2045" s="5"/>
      <c r="H2045" s="5"/>
    </row>
    <row r="2046" customFormat="1" spans="7:8">
      <c r="G2046" s="5"/>
      <c r="H2046" s="5"/>
    </row>
    <row r="2047" customFormat="1" spans="7:8">
      <c r="G2047" s="5"/>
      <c r="H2047" s="5"/>
    </row>
    <row r="2048" customFormat="1" spans="7:8">
      <c r="G2048" s="5"/>
      <c r="H2048" s="5"/>
    </row>
    <row r="2049" customFormat="1" spans="7:8">
      <c r="G2049" s="5"/>
      <c r="H2049" s="5"/>
    </row>
    <row r="2050" customFormat="1" spans="7:8">
      <c r="G2050" s="5"/>
      <c r="H2050" s="5"/>
    </row>
    <row r="2051" customFormat="1" spans="7:8">
      <c r="G2051" s="5"/>
      <c r="H2051" s="5"/>
    </row>
    <row r="2052" customFormat="1" spans="7:8">
      <c r="G2052" s="5"/>
      <c r="H2052" s="5"/>
    </row>
    <row r="2053" customFormat="1" spans="7:8">
      <c r="G2053" s="5"/>
      <c r="H2053" s="5"/>
    </row>
    <row r="2054" customFormat="1" spans="7:8">
      <c r="G2054" s="5"/>
      <c r="H2054" s="5"/>
    </row>
    <row r="2055" customFormat="1" spans="7:8">
      <c r="G2055" s="5"/>
      <c r="H2055" s="5"/>
    </row>
    <row r="2056" customFormat="1" spans="7:8">
      <c r="G2056" s="5"/>
      <c r="H2056" s="5"/>
    </row>
    <row r="2057" customFormat="1" spans="7:8">
      <c r="G2057" s="5"/>
      <c r="H2057" s="5"/>
    </row>
    <row r="2058" customFormat="1" spans="7:8">
      <c r="G2058" s="5"/>
      <c r="H2058" s="5"/>
    </row>
    <row r="2059" customFormat="1" spans="7:8">
      <c r="G2059" s="5"/>
      <c r="H2059" s="5"/>
    </row>
    <row r="2060" customFormat="1" spans="7:8">
      <c r="G2060" s="5"/>
      <c r="H2060" s="5"/>
    </row>
    <row r="2061" customFormat="1" spans="7:8">
      <c r="G2061" s="5"/>
      <c r="H2061" s="5"/>
    </row>
    <row r="2062" customFormat="1" spans="7:8">
      <c r="G2062" s="5"/>
      <c r="H2062" s="5"/>
    </row>
    <row r="2063" customFormat="1" spans="7:8">
      <c r="G2063" s="5"/>
      <c r="H2063" s="5"/>
    </row>
    <row r="2064" customFormat="1" spans="7:8">
      <c r="G2064" s="5"/>
      <c r="H2064" s="5"/>
    </row>
    <row r="2065" customFormat="1" spans="7:8">
      <c r="G2065" s="5"/>
      <c r="H2065" s="5"/>
    </row>
    <row r="2066" customFormat="1" spans="7:8">
      <c r="G2066" s="5"/>
      <c r="H2066" s="5"/>
    </row>
    <row r="2067" customFormat="1" spans="7:8">
      <c r="G2067" s="5"/>
      <c r="H2067" s="5"/>
    </row>
    <row r="2068" customFormat="1" spans="7:8">
      <c r="G2068" s="5"/>
      <c r="H2068" s="5"/>
    </row>
    <row r="2069" customFormat="1" spans="7:8">
      <c r="G2069" s="5"/>
      <c r="H2069" s="5"/>
    </row>
    <row r="2070" customFormat="1" spans="7:8">
      <c r="G2070" s="5"/>
      <c r="H2070" s="5"/>
    </row>
    <row r="2071" customFormat="1" spans="7:8">
      <c r="G2071" s="5"/>
      <c r="H2071" s="5"/>
    </row>
    <row r="2072" customFormat="1" spans="7:8">
      <c r="G2072" s="5"/>
      <c r="H2072" s="5"/>
    </row>
    <row r="2073" customFormat="1" spans="7:8">
      <c r="G2073" s="5"/>
      <c r="H2073" s="5"/>
    </row>
    <row r="2074" customFormat="1" spans="7:8">
      <c r="G2074" s="5"/>
      <c r="H2074" s="5"/>
    </row>
    <row r="2075" customFormat="1" spans="7:8">
      <c r="G2075" s="5"/>
      <c r="H2075" s="5"/>
    </row>
    <row r="2076" customFormat="1" spans="7:8">
      <c r="G2076" s="5"/>
      <c r="H2076" s="5"/>
    </row>
    <row r="2077" customFormat="1" spans="7:8">
      <c r="G2077" s="5"/>
      <c r="H2077" s="5"/>
    </row>
    <row r="2078" customFormat="1" spans="7:8">
      <c r="G2078" s="5"/>
      <c r="H2078" s="5"/>
    </row>
    <row r="2079" customFormat="1" spans="7:8">
      <c r="G2079" s="5"/>
      <c r="H2079" s="5"/>
    </row>
    <row r="2080" customFormat="1" spans="7:8">
      <c r="G2080" s="5"/>
      <c r="H2080" s="5"/>
    </row>
    <row r="2081" customFormat="1" spans="7:8">
      <c r="G2081" s="5"/>
      <c r="H2081" s="5"/>
    </row>
    <row r="2082" customFormat="1" spans="7:8">
      <c r="G2082" s="5"/>
      <c r="H2082" s="5"/>
    </row>
    <row r="2083" customFormat="1" spans="7:8">
      <c r="G2083" s="5"/>
      <c r="H2083" s="5"/>
    </row>
    <row r="2084" customFormat="1" spans="7:8">
      <c r="G2084" s="5"/>
      <c r="H2084" s="5"/>
    </row>
    <row r="2085" customFormat="1" spans="7:8">
      <c r="G2085" s="5"/>
      <c r="H2085" s="5"/>
    </row>
    <row r="2086" customFormat="1" spans="7:8">
      <c r="G2086" s="5"/>
      <c r="H2086" s="5"/>
    </row>
    <row r="2087" customFormat="1" spans="7:8">
      <c r="G2087" s="5"/>
      <c r="H2087" s="5"/>
    </row>
    <row r="2088" customFormat="1" spans="7:8">
      <c r="G2088" s="5"/>
      <c r="H2088" s="5"/>
    </row>
    <row r="2089" customFormat="1" spans="7:8">
      <c r="G2089" s="5"/>
      <c r="H2089" s="5"/>
    </row>
    <row r="2090" customFormat="1" spans="7:8">
      <c r="G2090" s="5"/>
      <c r="H2090" s="5"/>
    </row>
    <row r="2091" customFormat="1" spans="7:8">
      <c r="G2091" s="5"/>
      <c r="H2091" s="5"/>
    </row>
    <row r="2092" customFormat="1" spans="7:8">
      <c r="G2092" s="5"/>
      <c r="H2092" s="5"/>
    </row>
    <row r="2093" customFormat="1" spans="7:8">
      <c r="G2093" s="5"/>
      <c r="H2093" s="5"/>
    </row>
    <row r="2094" customFormat="1" spans="7:8">
      <c r="G2094" s="5"/>
      <c r="H2094" s="5"/>
    </row>
    <row r="2095" customFormat="1" spans="7:8">
      <c r="G2095" s="5"/>
      <c r="H2095" s="5"/>
    </row>
    <row r="2096" customFormat="1" spans="7:8">
      <c r="G2096" s="5"/>
      <c r="H2096" s="5"/>
    </row>
    <row r="2097" customFormat="1" spans="7:8">
      <c r="G2097" s="5"/>
      <c r="H2097" s="5"/>
    </row>
    <row r="2098" customFormat="1" spans="7:8">
      <c r="G2098" s="5"/>
      <c r="H2098" s="5"/>
    </row>
    <row r="2099" customFormat="1" spans="7:8">
      <c r="G2099" s="5"/>
      <c r="H2099" s="5"/>
    </row>
    <row r="2100" customFormat="1" spans="7:8">
      <c r="G2100" s="5"/>
      <c r="H2100" s="5"/>
    </row>
    <row r="2101" customFormat="1" spans="7:8">
      <c r="G2101" s="5"/>
      <c r="H2101" s="5"/>
    </row>
    <row r="2102" customFormat="1" spans="7:8">
      <c r="G2102" s="5"/>
      <c r="H2102" s="5"/>
    </row>
    <row r="2103" customFormat="1" spans="7:8">
      <c r="G2103" s="5"/>
      <c r="H2103" s="5"/>
    </row>
    <row r="2104" customFormat="1" spans="7:8">
      <c r="G2104" s="5"/>
      <c r="H2104" s="5"/>
    </row>
    <row r="2105" customFormat="1" spans="7:8">
      <c r="G2105" s="5"/>
      <c r="H2105" s="5"/>
    </row>
    <row r="2106" customFormat="1" spans="7:8">
      <c r="G2106" s="5"/>
      <c r="H2106" s="5"/>
    </row>
    <row r="2107" customFormat="1" spans="7:8">
      <c r="G2107" s="5"/>
      <c r="H2107" s="5"/>
    </row>
    <row r="2108" customFormat="1" spans="7:8">
      <c r="G2108" s="5"/>
      <c r="H2108" s="5"/>
    </row>
    <row r="2109" customFormat="1" spans="7:8">
      <c r="G2109" s="5"/>
      <c r="H2109" s="5"/>
    </row>
    <row r="2110" customFormat="1" spans="7:8">
      <c r="G2110" s="5"/>
      <c r="H2110" s="5"/>
    </row>
    <row r="2111" customFormat="1" spans="7:8">
      <c r="G2111" s="5"/>
      <c r="H2111" s="5"/>
    </row>
    <row r="2112" customFormat="1" spans="7:8">
      <c r="G2112" s="5"/>
      <c r="H2112" s="5"/>
    </row>
    <row r="2113" customFormat="1" spans="7:8">
      <c r="G2113" s="5"/>
      <c r="H2113" s="5"/>
    </row>
    <row r="2114" customFormat="1" spans="7:8">
      <c r="G2114" s="5"/>
      <c r="H2114" s="5"/>
    </row>
    <row r="2115" customFormat="1" spans="7:8">
      <c r="G2115" s="5"/>
      <c r="H2115" s="5"/>
    </row>
    <row r="2116" customFormat="1" spans="7:8">
      <c r="G2116" s="5"/>
      <c r="H2116" s="5"/>
    </row>
    <row r="2117" customFormat="1" spans="7:8">
      <c r="G2117" s="5"/>
      <c r="H2117" s="5"/>
    </row>
    <row r="2118" customFormat="1" spans="7:8">
      <c r="G2118" s="5"/>
      <c r="H2118" s="5"/>
    </row>
    <row r="2119" customFormat="1" spans="7:8">
      <c r="G2119" s="5"/>
      <c r="H2119" s="5"/>
    </row>
    <row r="2120" customFormat="1" spans="7:8">
      <c r="G2120" s="5"/>
      <c r="H2120" s="5"/>
    </row>
    <row r="2121" customFormat="1" spans="7:8">
      <c r="G2121" s="5"/>
      <c r="H2121" s="5"/>
    </row>
    <row r="2122" customFormat="1" spans="7:8">
      <c r="G2122" s="5"/>
      <c r="H2122" s="5"/>
    </row>
    <row r="2123" customFormat="1" spans="7:8">
      <c r="G2123" s="5"/>
      <c r="H2123" s="5"/>
    </row>
    <row r="2124" customFormat="1" spans="7:8">
      <c r="G2124" s="5"/>
      <c r="H2124" s="5"/>
    </row>
    <row r="2125" customFormat="1" spans="7:8">
      <c r="G2125" s="5"/>
      <c r="H2125" s="5"/>
    </row>
    <row r="2126" customFormat="1" spans="7:8">
      <c r="G2126" s="5"/>
      <c r="H2126" s="5"/>
    </row>
    <row r="2127" customFormat="1" spans="7:8">
      <c r="G2127" s="5"/>
      <c r="H2127" s="5"/>
    </row>
    <row r="2128" customFormat="1" spans="7:8">
      <c r="G2128" s="5"/>
      <c r="H2128" s="5"/>
    </row>
    <row r="2129" customFormat="1" spans="7:8">
      <c r="G2129" s="5"/>
      <c r="H2129" s="5"/>
    </row>
    <row r="2130" customFormat="1" spans="7:8">
      <c r="G2130" s="5"/>
      <c r="H2130" s="5"/>
    </row>
    <row r="2131" customFormat="1" spans="7:8">
      <c r="G2131" s="5"/>
      <c r="H2131" s="5"/>
    </row>
    <row r="2132" customFormat="1" spans="7:8">
      <c r="G2132" s="5"/>
      <c r="H2132" s="5"/>
    </row>
    <row r="2133" customFormat="1" spans="7:8">
      <c r="G2133" s="5"/>
      <c r="H2133" s="5"/>
    </row>
    <row r="2134" customFormat="1" spans="7:8">
      <c r="G2134" s="5"/>
      <c r="H2134" s="5"/>
    </row>
    <row r="2135" customFormat="1" spans="7:8">
      <c r="G2135" s="5"/>
      <c r="H2135" s="5"/>
    </row>
    <row r="2136" customFormat="1" spans="7:8">
      <c r="G2136" s="5"/>
      <c r="H2136" s="5"/>
    </row>
    <row r="2137" customFormat="1" spans="7:8">
      <c r="G2137" s="5"/>
      <c r="H2137" s="5"/>
    </row>
    <row r="2138" customFormat="1" spans="7:8">
      <c r="G2138" s="5"/>
      <c r="H2138" s="5"/>
    </row>
    <row r="2139" customFormat="1" spans="7:8">
      <c r="G2139" s="5"/>
      <c r="H2139" s="5"/>
    </row>
    <row r="2140" customFormat="1" spans="7:8">
      <c r="G2140" s="5"/>
      <c r="H2140" s="5"/>
    </row>
    <row r="2141" customFormat="1" spans="7:8">
      <c r="G2141" s="5"/>
      <c r="H2141" s="5"/>
    </row>
    <row r="2142" customFormat="1" spans="7:8">
      <c r="G2142" s="5"/>
      <c r="H2142" s="5"/>
    </row>
    <row r="2143" customFormat="1" spans="7:8">
      <c r="G2143" s="5"/>
      <c r="H2143" s="5"/>
    </row>
    <row r="2144" customFormat="1" spans="7:8">
      <c r="G2144" s="5"/>
      <c r="H2144" s="5"/>
    </row>
    <row r="2145" customFormat="1" spans="7:8">
      <c r="G2145" s="5"/>
      <c r="H2145" s="5"/>
    </row>
    <row r="2146" customFormat="1" spans="7:8">
      <c r="G2146" s="5"/>
      <c r="H2146" s="5"/>
    </row>
    <row r="2147" customFormat="1" spans="7:8">
      <c r="G2147" s="5"/>
      <c r="H2147" s="5"/>
    </row>
    <row r="2148" customFormat="1" spans="7:8">
      <c r="G2148" s="5"/>
      <c r="H2148" s="5"/>
    </row>
    <row r="2149" customFormat="1" spans="7:8">
      <c r="G2149" s="5"/>
      <c r="H2149" s="5"/>
    </row>
    <row r="2150" customFormat="1" spans="7:8">
      <c r="G2150" s="5"/>
      <c r="H2150" s="5"/>
    </row>
    <row r="2151" customFormat="1" spans="7:8">
      <c r="G2151" s="5"/>
      <c r="H2151" s="5"/>
    </row>
    <row r="2152" customFormat="1" spans="7:8">
      <c r="G2152" s="5"/>
      <c r="H2152" s="5"/>
    </row>
    <row r="2153" customFormat="1" spans="7:8">
      <c r="G2153" s="5"/>
      <c r="H2153" s="5"/>
    </row>
    <row r="2154" customFormat="1" spans="7:8">
      <c r="G2154" s="5"/>
      <c r="H2154" s="5"/>
    </row>
    <row r="2155" customFormat="1" spans="7:8">
      <c r="G2155" s="5"/>
      <c r="H2155" s="5"/>
    </row>
    <row r="2156" customFormat="1" spans="7:8">
      <c r="G2156" s="5"/>
      <c r="H2156" s="5"/>
    </row>
    <row r="2157" customFormat="1" spans="7:8">
      <c r="G2157" s="5"/>
      <c r="H2157" s="5"/>
    </row>
    <row r="2158" customFormat="1" spans="7:8">
      <c r="G2158" s="5"/>
      <c r="H2158" s="5"/>
    </row>
    <row r="2159" customFormat="1" spans="7:8">
      <c r="G2159" s="5"/>
      <c r="H2159" s="5"/>
    </row>
    <row r="2160" customFormat="1" spans="7:8">
      <c r="G2160" s="5"/>
      <c r="H2160" s="5"/>
    </row>
    <row r="2161" customFormat="1" spans="7:8">
      <c r="G2161" s="5"/>
      <c r="H2161" s="5"/>
    </row>
    <row r="2162" customFormat="1" spans="7:8">
      <c r="G2162" s="5"/>
      <c r="H2162" s="5"/>
    </row>
    <row r="2163" customFormat="1" spans="7:8">
      <c r="G2163" s="5"/>
      <c r="H2163" s="5"/>
    </row>
    <row r="2164" customFormat="1" spans="7:8">
      <c r="G2164" s="5"/>
      <c r="H2164" s="5"/>
    </row>
    <row r="2165" customFormat="1" spans="7:8">
      <c r="G2165" s="5"/>
      <c r="H2165" s="5"/>
    </row>
    <row r="2166" customFormat="1" spans="7:8">
      <c r="G2166" s="5"/>
      <c r="H2166" s="5"/>
    </row>
    <row r="2167" customFormat="1" spans="7:8">
      <c r="G2167" s="5"/>
      <c r="H2167" s="5"/>
    </row>
    <row r="2168" customFormat="1" spans="7:8">
      <c r="G2168" s="5"/>
      <c r="H2168" s="5"/>
    </row>
    <row r="2169" customFormat="1" spans="7:8">
      <c r="G2169" s="5"/>
      <c r="H2169" s="5"/>
    </row>
    <row r="2170" customFormat="1" spans="7:8">
      <c r="G2170" s="5"/>
      <c r="H2170" s="5"/>
    </row>
    <row r="2171" customFormat="1" spans="7:8">
      <c r="G2171" s="5"/>
      <c r="H2171" s="5"/>
    </row>
    <row r="2172" customFormat="1" spans="7:8">
      <c r="G2172" s="5"/>
      <c r="H2172" s="5"/>
    </row>
    <row r="2173" customFormat="1" spans="7:8">
      <c r="G2173" s="5"/>
      <c r="H2173" s="5"/>
    </row>
    <row r="2174" customFormat="1" spans="7:8">
      <c r="G2174" s="5"/>
      <c r="H2174" s="5"/>
    </row>
    <row r="2175" customFormat="1" spans="7:8">
      <c r="G2175" s="5"/>
      <c r="H2175" s="5"/>
    </row>
    <row r="2176" customFormat="1" spans="7:8">
      <c r="G2176" s="5"/>
      <c r="H2176" s="5"/>
    </row>
    <row r="2177" customFormat="1" spans="7:8">
      <c r="G2177" s="5"/>
      <c r="H2177" s="5"/>
    </row>
    <row r="2178" customFormat="1" spans="7:8">
      <c r="G2178" s="5"/>
      <c r="H2178" s="5"/>
    </row>
    <row r="2179" customFormat="1" spans="7:8">
      <c r="G2179" s="5"/>
      <c r="H2179" s="5"/>
    </row>
    <row r="2180" customFormat="1" spans="7:8">
      <c r="G2180" s="5"/>
      <c r="H2180" s="5"/>
    </row>
    <row r="2181" customFormat="1" spans="7:8">
      <c r="G2181" s="5"/>
      <c r="H2181" s="5"/>
    </row>
    <row r="2182" customFormat="1" spans="7:8">
      <c r="G2182" s="5"/>
      <c r="H2182" s="5"/>
    </row>
    <row r="2183" customFormat="1" spans="7:8">
      <c r="G2183" s="5"/>
      <c r="H2183" s="5"/>
    </row>
    <row r="2184" customFormat="1" spans="7:8">
      <c r="G2184" s="5"/>
      <c r="H2184" s="5"/>
    </row>
    <row r="2185" customFormat="1" spans="7:8">
      <c r="G2185" s="5"/>
      <c r="H2185" s="5"/>
    </row>
    <row r="2186" customFormat="1" spans="7:8">
      <c r="G2186" s="5"/>
      <c r="H2186" s="5"/>
    </row>
    <row r="2187" customFormat="1" spans="7:8">
      <c r="G2187" s="5"/>
      <c r="H2187" s="5"/>
    </row>
    <row r="2188" customFormat="1" spans="7:8">
      <c r="G2188" s="5"/>
      <c r="H2188" s="5"/>
    </row>
    <row r="2189" customFormat="1" spans="7:8">
      <c r="G2189" s="5"/>
      <c r="H2189" s="5"/>
    </row>
    <row r="2190" customFormat="1" spans="7:8">
      <c r="G2190" s="5"/>
      <c r="H2190" s="5"/>
    </row>
    <row r="2191" customFormat="1" spans="7:8">
      <c r="G2191" s="5"/>
      <c r="H2191" s="5"/>
    </row>
    <row r="2192" customFormat="1" spans="7:8">
      <c r="G2192" s="5"/>
      <c r="H2192" s="5"/>
    </row>
    <row r="2193" customFormat="1" spans="7:8">
      <c r="G2193" s="5"/>
      <c r="H2193" s="5"/>
    </row>
    <row r="2194" customFormat="1" spans="7:8">
      <c r="G2194" s="5"/>
      <c r="H2194" s="5"/>
    </row>
    <row r="2195" customFormat="1" spans="7:8">
      <c r="G2195" s="5"/>
      <c r="H2195" s="5"/>
    </row>
    <row r="2196" customFormat="1" spans="7:8">
      <c r="G2196" s="5"/>
      <c r="H2196" s="5"/>
    </row>
    <row r="2197" customFormat="1" spans="7:8">
      <c r="G2197" s="5"/>
      <c r="H2197" s="5"/>
    </row>
    <row r="2198" customFormat="1" spans="7:8">
      <c r="G2198" s="5"/>
      <c r="H2198" s="5"/>
    </row>
    <row r="2199" customFormat="1" spans="7:8">
      <c r="G2199" s="5"/>
      <c r="H2199" s="5"/>
    </row>
    <row r="2200" customFormat="1" spans="7:8">
      <c r="G2200" s="5"/>
      <c r="H2200" s="5"/>
    </row>
    <row r="2201" customFormat="1" spans="7:8">
      <c r="G2201" s="5"/>
      <c r="H2201" s="5"/>
    </row>
    <row r="2202" customFormat="1" spans="7:8">
      <c r="G2202" s="5"/>
      <c r="H2202" s="5"/>
    </row>
    <row r="2203" customFormat="1" spans="7:8">
      <c r="G2203" s="5"/>
      <c r="H2203" s="5"/>
    </row>
    <row r="2204" customFormat="1" spans="7:8">
      <c r="G2204" s="5"/>
      <c r="H2204" s="5"/>
    </row>
    <row r="2205" customFormat="1" spans="7:8">
      <c r="G2205" s="5"/>
      <c r="H2205" s="5"/>
    </row>
    <row r="2206" customFormat="1" spans="7:8">
      <c r="G2206" s="5"/>
      <c r="H2206" s="5"/>
    </row>
    <row r="2207" customFormat="1" spans="7:8">
      <c r="G2207" s="5"/>
      <c r="H2207" s="5"/>
    </row>
    <row r="2208" customFormat="1" spans="7:8">
      <c r="G2208" s="5"/>
      <c r="H2208" s="5"/>
    </row>
    <row r="2209" customFormat="1" spans="7:8">
      <c r="G2209" s="5"/>
      <c r="H2209" s="5"/>
    </row>
    <row r="2210" customFormat="1" spans="7:8">
      <c r="G2210" s="5"/>
      <c r="H2210" s="5"/>
    </row>
    <row r="2211" customFormat="1" spans="7:8">
      <c r="G2211" s="5"/>
      <c r="H2211" s="5"/>
    </row>
    <row r="2212" customFormat="1" spans="7:8">
      <c r="G2212" s="5"/>
      <c r="H2212" s="5"/>
    </row>
    <row r="2213" customFormat="1" spans="7:8">
      <c r="G2213" s="5"/>
      <c r="H2213" s="5"/>
    </row>
    <row r="2214" customFormat="1" spans="7:8">
      <c r="G2214" s="5"/>
      <c r="H2214" s="5"/>
    </row>
    <row r="2215" customFormat="1" spans="7:8">
      <c r="G2215" s="5"/>
      <c r="H2215" s="5"/>
    </row>
    <row r="2216" customFormat="1" spans="7:8">
      <c r="G2216" s="5"/>
      <c r="H2216" s="5"/>
    </row>
    <row r="2217" customFormat="1" spans="7:8">
      <c r="G2217" s="5"/>
      <c r="H2217" s="5"/>
    </row>
    <row r="2218" customFormat="1" spans="7:8">
      <c r="G2218" s="5"/>
      <c r="H2218" s="5"/>
    </row>
    <row r="2219" customFormat="1" spans="7:8">
      <c r="G2219" s="5"/>
      <c r="H2219" s="5"/>
    </row>
    <row r="2220" customFormat="1" spans="7:8">
      <c r="G2220" s="5"/>
      <c r="H2220" s="5"/>
    </row>
    <row r="2221" customFormat="1" spans="7:8">
      <c r="G2221" s="5"/>
      <c r="H2221" s="5"/>
    </row>
    <row r="2222" customFormat="1" spans="7:8">
      <c r="G2222" s="5"/>
      <c r="H2222" s="5"/>
    </row>
    <row r="2223" customFormat="1" spans="7:8">
      <c r="G2223" s="5"/>
      <c r="H2223" s="5"/>
    </row>
    <row r="2224" customFormat="1" spans="7:8">
      <c r="G2224" s="5"/>
      <c r="H2224" s="5"/>
    </row>
    <row r="2225" customFormat="1" spans="7:8">
      <c r="G2225" s="5"/>
      <c r="H2225" s="5"/>
    </row>
    <row r="2226" customFormat="1" spans="7:8">
      <c r="G2226" s="5"/>
      <c r="H2226" s="5"/>
    </row>
    <row r="2227" customFormat="1" spans="7:8">
      <c r="G2227" s="5"/>
      <c r="H2227" s="5"/>
    </row>
    <row r="2228" customFormat="1" spans="7:8">
      <c r="G2228" s="5"/>
      <c r="H2228" s="5"/>
    </row>
    <row r="2229" customFormat="1" spans="7:8">
      <c r="G2229" s="5"/>
      <c r="H2229" s="5"/>
    </row>
    <row r="2230" customFormat="1" spans="7:8">
      <c r="G2230" s="5"/>
      <c r="H2230" s="5"/>
    </row>
    <row r="2231" customFormat="1" spans="7:8">
      <c r="G2231" s="5"/>
      <c r="H2231" s="5"/>
    </row>
    <row r="2232" customFormat="1" spans="7:8">
      <c r="G2232" s="5"/>
      <c r="H2232" s="5"/>
    </row>
    <row r="2233" customFormat="1" spans="7:8">
      <c r="G2233" s="5"/>
      <c r="H2233" s="5"/>
    </row>
    <row r="2234" customFormat="1" spans="7:8">
      <c r="G2234" s="5"/>
      <c r="H2234" s="5"/>
    </row>
    <row r="2235" customFormat="1" spans="7:8">
      <c r="G2235" s="5"/>
      <c r="H2235" s="5"/>
    </row>
    <row r="2236" customFormat="1" spans="7:8">
      <c r="G2236" s="5"/>
      <c r="H2236" s="5"/>
    </row>
    <row r="2237" customFormat="1" spans="7:8">
      <c r="G2237" s="5"/>
      <c r="H2237" s="5"/>
    </row>
    <row r="2238" customFormat="1" spans="7:8">
      <c r="G2238" s="5"/>
      <c r="H2238" s="5"/>
    </row>
    <row r="2239" customFormat="1" spans="7:8">
      <c r="G2239" s="5"/>
      <c r="H2239" s="5"/>
    </row>
    <row r="2240" customFormat="1" spans="7:8">
      <c r="G2240" s="5"/>
      <c r="H2240" s="5"/>
    </row>
    <row r="2241" customFormat="1" spans="7:8">
      <c r="G2241" s="5"/>
      <c r="H2241" s="5"/>
    </row>
    <row r="2242" customFormat="1" spans="7:8">
      <c r="G2242" s="5"/>
      <c r="H2242" s="5"/>
    </row>
    <row r="2243" customFormat="1" spans="7:8">
      <c r="G2243" s="5"/>
      <c r="H2243" s="5"/>
    </row>
    <row r="2244" customFormat="1" spans="7:8">
      <c r="G2244" s="5"/>
      <c r="H2244" s="5"/>
    </row>
    <row r="2245" customFormat="1" spans="7:8">
      <c r="G2245" s="5"/>
      <c r="H2245" s="5"/>
    </row>
    <row r="2246" customFormat="1" spans="7:8">
      <c r="G2246" s="5"/>
      <c r="H2246" s="5"/>
    </row>
    <row r="2247" customFormat="1" spans="7:8">
      <c r="G2247" s="5"/>
      <c r="H2247" s="5"/>
    </row>
    <row r="2248" customFormat="1" spans="7:8">
      <c r="G2248" s="5"/>
      <c r="H2248" s="5"/>
    </row>
    <row r="2249" customFormat="1" spans="7:8">
      <c r="G2249" s="5"/>
      <c r="H2249" s="5"/>
    </row>
    <row r="2250" customFormat="1" spans="7:8">
      <c r="G2250" s="5"/>
      <c r="H2250" s="5"/>
    </row>
    <row r="2251" customFormat="1" spans="7:8">
      <c r="G2251" s="5"/>
      <c r="H2251" s="5"/>
    </row>
    <row r="2252" customFormat="1" spans="7:8">
      <c r="G2252" s="5"/>
      <c r="H2252" s="5"/>
    </row>
    <row r="2253" customFormat="1" spans="7:8">
      <c r="G2253" s="5"/>
      <c r="H2253" s="5"/>
    </row>
    <row r="2254" customFormat="1" spans="7:8">
      <c r="G2254" s="5"/>
      <c r="H2254" s="5"/>
    </row>
    <row r="2255" customFormat="1" spans="7:8">
      <c r="G2255" s="5"/>
      <c r="H2255" s="5"/>
    </row>
    <row r="2256" customFormat="1" spans="7:8">
      <c r="G2256" s="5"/>
      <c r="H2256" s="5"/>
    </row>
    <row r="2257" customFormat="1" spans="7:8">
      <c r="G2257" s="5"/>
      <c r="H2257" s="5"/>
    </row>
    <row r="2258" customFormat="1" spans="7:8">
      <c r="G2258" s="5"/>
      <c r="H2258" s="5"/>
    </row>
    <row r="2259" customFormat="1" spans="7:8">
      <c r="G2259" s="5"/>
      <c r="H2259" s="5"/>
    </row>
    <row r="2260" customFormat="1" spans="7:8">
      <c r="G2260" s="5"/>
      <c r="H2260" s="5"/>
    </row>
    <row r="2261" customFormat="1" spans="7:8">
      <c r="G2261" s="5"/>
      <c r="H2261" s="5"/>
    </row>
    <row r="2262" customFormat="1" spans="7:8">
      <c r="G2262" s="5"/>
      <c r="H2262" s="5"/>
    </row>
    <row r="2263" customFormat="1" spans="7:8">
      <c r="G2263" s="5"/>
      <c r="H2263" s="5"/>
    </row>
    <row r="2264" customFormat="1" spans="7:8">
      <c r="G2264" s="5"/>
      <c r="H2264" s="5"/>
    </row>
    <row r="2265" customFormat="1" spans="7:8">
      <c r="G2265" s="5"/>
      <c r="H2265" s="5"/>
    </row>
    <row r="2266" customFormat="1" spans="7:8">
      <c r="G2266" s="5"/>
      <c r="H2266" s="5"/>
    </row>
    <row r="2267" customFormat="1" spans="7:8">
      <c r="G2267" s="5"/>
      <c r="H2267" s="5"/>
    </row>
    <row r="2268" customFormat="1" spans="7:8">
      <c r="G2268" s="5"/>
      <c r="H2268" s="5"/>
    </row>
    <row r="2269" customFormat="1" spans="7:8">
      <c r="G2269" s="5"/>
      <c r="H2269" s="5"/>
    </row>
    <row r="2270" customFormat="1" spans="7:8">
      <c r="G2270" s="5"/>
      <c r="H2270" s="5"/>
    </row>
    <row r="2271" customFormat="1" spans="7:8">
      <c r="G2271" s="5"/>
      <c r="H2271" s="5"/>
    </row>
    <row r="2272" customFormat="1" spans="7:8">
      <c r="G2272" s="5"/>
      <c r="H2272" s="5"/>
    </row>
    <row r="2273" customFormat="1" spans="7:8">
      <c r="G2273" s="5"/>
      <c r="H2273" s="5"/>
    </row>
    <row r="2274" customFormat="1" spans="7:8">
      <c r="G2274" s="5"/>
      <c r="H2274" s="5"/>
    </row>
    <row r="2275" customFormat="1" spans="7:8">
      <c r="G2275" s="5"/>
      <c r="H2275" s="5"/>
    </row>
    <row r="2276" customFormat="1" spans="7:8">
      <c r="G2276" s="5"/>
      <c r="H2276" s="5"/>
    </row>
    <row r="2277" customFormat="1" spans="7:8">
      <c r="G2277" s="5"/>
      <c r="H2277" s="5"/>
    </row>
    <row r="2278" customFormat="1" spans="7:8">
      <c r="G2278" s="5"/>
      <c r="H2278" s="5"/>
    </row>
    <row r="2279" customFormat="1" spans="7:8">
      <c r="G2279" s="5"/>
      <c r="H2279" s="5"/>
    </row>
    <row r="2280" customFormat="1" spans="7:8">
      <c r="G2280" s="5"/>
      <c r="H2280" s="5"/>
    </row>
    <row r="2281" customFormat="1" spans="7:8">
      <c r="G2281" s="5"/>
      <c r="H2281" s="5"/>
    </row>
    <row r="2282" customFormat="1" spans="7:8">
      <c r="G2282" s="5"/>
      <c r="H2282" s="5"/>
    </row>
    <row r="2283" customFormat="1" spans="7:8">
      <c r="G2283" s="5"/>
      <c r="H2283" s="5"/>
    </row>
    <row r="2284" customFormat="1" spans="7:8">
      <c r="G2284" s="5"/>
      <c r="H2284" s="5"/>
    </row>
    <row r="2285" customFormat="1" spans="7:8">
      <c r="G2285" s="5"/>
      <c r="H2285" s="5"/>
    </row>
    <row r="2286" customFormat="1" spans="7:8">
      <c r="G2286" s="5"/>
      <c r="H2286" s="5"/>
    </row>
    <row r="2287" customFormat="1" spans="7:8">
      <c r="G2287" s="5"/>
      <c r="H2287" s="5"/>
    </row>
    <row r="2288" customFormat="1" spans="7:8">
      <c r="G2288" s="5"/>
      <c r="H2288" s="5"/>
    </row>
    <row r="2289" customFormat="1" spans="7:8">
      <c r="G2289" s="5"/>
      <c r="H2289" s="5"/>
    </row>
    <row r="2290" customFormat="1" spans="7:8">
      <c r="G2290" s="5"/>
      <c r="H2290" s="5"/>
    </row>
    <row r="2291" customFormat="1" spans="7:8">
      <c r="G2291" s="5"/>
      <c r="H2291" s="5"/>
    </row>
    <row r="2292" customFormat="1" spans="7:8">
      <c r="G2292" s="5"/>
      <c r="H2292" s="5"/>
    </row>
    <row r="2293" customFormat="1" spans="7:8">
      <c r="G2293" s="5"/>
      <c r="H2293" s="5"/>
    </row>
    <row r="2294" customFormat="1" spans="7:8">
      <c r="G2294" s="5"/>
      <c r="H2294" s="5"/>
    </row>
    <row r="2295" customFormat="1" spans="7:8">
      <c r="G2295" s="5"/>
      <c r="H2295" s="5"/>
    </row>
    <row r="2296" customFormat="1" spans="7:8">
      <c r="G2296" s="5"/>
      <c r="H2296" s="5"/>
    </row>
    <row r="2297" customFormat="1" spans="7:8">
      <c r="G2297" s="5"/>
      <c r="H2297" s="5"/>
    </row>
    <row r="2298" customFormat="1" spans="7:8">
      <c r="G2298" s="5"/>
      <c r="H2298" s="5"/>
    </row>
    <row r="2299" customFormat="1" spans="7:8">
      <c r="G2299" s="5"/>
      <c r="H2299" s="5"/>
    </row>
    <row r="2300" customFormat="1" spans="7:8">
      <c r="G2300" s="5"/>
      <c r="H2300" s="5"/>
    </row>
    <row r="2301" customFormat="1" spans="7:8">
      <c r="G2301" s="5"/>
      <c r="H2301" s="5"/>
    </row>
    <row r="2302" customFormat="1" spans="7:8">
      <c r="G2302" s="5"/>
      <c r="H2302" s="5"/>
    </row>
    <row r="2303" customFormat="1" spans="7:8">
      <c r="G2303" s="5"/>
      <c r="H2303" s="5"/>
    </row>
    <row r="2304" customFormat="1" spans="7:8">
      <c r="G2304" s="5"/>
      <c r="H2304" s="5"/>
    </row>
    <row r="2305" customFormat="1" spans="7:8">
      <c r="G2305" s="5"/>
      <c r="H2305" s="5"/>
    </row>
    <row r="2306" customFormat="1" spans="7:8">
      <c r="G2306" s="5"/>
      <c r="H2306" s="5"/>
    </row>
    <row r="2307" customFormat="1" spans="7:8">
      <c r="G2307" s="5"/>
      <c r="H2307" s="5"/>
    </row>
    <row r="2308" customFormat="1" spans="7:8">
      <c r="G2308" s="5"/>
      <c r="H2308" s="5"/>
    </row>
    <row r="2309" customFormat="1" spans="7:8">
      <c r="G2309" s="5"/>
      <c r="H2309" s="5"/>
    </row>
    <row r="2310" customFormat="1" spans="7:8">
      <c r="G2310" s="5"/>
      <c r="H2310" s="5"/>
    </row>
    <row r="2311" customFormat="1" spans="7:8">
      <c r="G2311" s="5"/>
      <c r="H2311" s="5"/>
    </row>
    <row r="2312" customFormat="1" spans="7:8">
      <c r="G2312" s="5"/>
      <c r="H2312" s="5"/>
    </row>
    <row r="2313" customFormat="1" spans="7:8">
      <c r="G2313" s="5"/>
      <c r="H2313" s="5"/>
    </row>
    <row r="2314" customFormat="1" spans="7:8">
      <c r="G2314" s="5"/>
      <c r="H2314" s="5"/>
    </row>
    <row r="2315" customFormat="1" spans="7:8">
      <c r="G2315" s="5"/>
      <c r="H2315" s="5"/>
    </row>
    <row r="2316" customFormat="1" spans="7:8">
      <c r="G2316" s="5"/>
      <c r="H2316" s="5"/>
    </row>
    <row r="2317" customFormat="1" spans="7:8">
      <c r="G2317" s="5"/>
      <c r="H2317" s="5"/>
    </row>
    <row r="2318" customFormat="1" spans="7:8">
      <c r="G2318" s="5"/>
      <c r="H2318" s="5"/>
    </row>
    <row r="2319" customFormat="1" spans="7:8">
      <c r="G2319" s="5"/>
      <c r="H2319" s="5"/>
    </row>
    <row r="2320" customFormat="1" spans="7:8">
      <c r="G2320" s="5"/>
      <c r="H2320" s="5"/>
    </row>
    <row r="2321" customFormat="1" spans="7:8">
      <c r="G2321" s="5"/>
      <c r="H2321" s="5"/>
    </row>
    <row r="2322" customFormat="1" spans="7:8">
      <c r="G2322" s="5"/>
      <c r="H2322" s="5"/>
    </row>
    <row r="2323" customFormat="1" spans="7:8">
      <c r="G2323" s="5"/>
      <c r="H2323" s="5"/>
    </row>
    <row r="2324" customFormat="1" spans="7:8">
      <c r="G2324" s="5"/>
      <c r="H2324" s="5"/>
    </row>
    <row r="2325" customFormat="1" spans="7:8">
      <c r="G2325" s="5"/>
      <c r="H2325" s="5"/>
    </row>
    <row r="2326" customFormat="1" spans="7:8">
      <c r="G2326" s="5"/>
      <c r="H2326" s="5"/>
    </row>
    <row r="2327" customFormat="1" spans="7:8">
      <c r="G2327" s="5"/>
      <c r="H2327" s="5"/>
    </row>
    <row r="2328" customFormat="1" spans="7:8">
      <c r="G2328" s="5"/>
      <c r="H2328" s="5"/>
    </row>
    <row r="2329" customFormat="1" spans="7:8">
      <c r="G2329" s="5"/>
      <c r="H2329" s="5"/>
    </row>
    <row r="2330" customFormat="1" spans="7:8">
      <c r="G2330" s="5"/>
      <c r="H2330" s="5"/>
    </row>
    <row r="2331" customFormat="1" spans="7:8">
      <c r="G2331" s="5"/>
      <c r="H2331" s="5"/>
    </row>
    <row r="2332" customFormat="1" spans="7:8">
      <c r="G2332" s="5"/>
      <c r="H2332" s="5"/>
    </row>
    <row r="2333" customFormat="1" spans="7:8">
      <c r="G2333" s="5"/>
      <c r="H2333" s="5"/>
    </row>
    <row r="2334" customFormat="1" spans="7:8">
      <c r="G2334" s="5"/>
      <c r="H2334" s="5"/>
    </row>
    <row r="2335" customFormat="1" spans="7:8">
      <c r="G2335" s="5"/>
      <c r="H2335" s="5"/>
    </row>
    <row r="2336" customFormat="1" spans="7:8">
      <c r="G2336" s="5"/>
      <c r="H2336" s="5"/>
    </row>
    <row r="2337" customFormat="1" spans="7:8">
      <c r="G2337" s="5"/>
      <c r="H2337" s="5"/>
    </row>
    <row r="2338" customFormat="1" spans="7:8">
      <c r="G2338" s="5"/>
      <c r="H2338" s="5"/>
    </row>
    <row r="2339" customFormat="1" spans="7:8">
      <c r="G2339" s="5"/>
      <c r="H2339" s="5"/>
    </row>
    <row r="2340" customFormat="1" spans="7:8">
      <c r="G2340" s="5"/>
      <c r="H2340" s="5"/>
    </row>
    <row r="2341" customFormat="1" spans="7:8">
      <c r="G2341" s="5"/>
      <c r="H2341" s="5"/>
    </row>
    <row r="2342" customFormat="1" spans="7:8">
      <c r="G2342" s="5"/>
      <c r="H2342" s="5"/>
    </row>
    <row r="2343" customFormat="1" spans="7:8">
      <c r="G2343" s="5"/>
      <c r="H2343" s="5"/>
    </row>
    <row r="2344" customFormat="1" spans="7:8">
      <c r="G2344" s="5"/>
      <c r="H2344" s="5"/>
    </row>
    <row r="2345" customFormat="1" spans="7:8">
      <c r="G2345" s="5"/>
      <c r="H2345" s="5"/>
    </row>
    <row r="2346" customFormat="1" spans="7:8">
      <c r="G2346" s="5"/>
      <c r="H2346" s="5"/>
    </row>
    <row r="2347" customFormat="1" spans="7:8">
      <c r="G2347" s="5"/>
      <c r="H2347" s="5"/>
    </row>
    <row r="2348" customFormat="1" spans="7:8">
      <c r="G2348" s="5"/>
      <c r="H2348" s="5"/>
    </row>
    <row r="2349" customFormat="1" spans="7:8">
      <c r="G2349" s="5"/>
      <c r="H2349" s="5"/>
    </row>
    <row r="2350" customFormat="1" spans="7:8">
      <c r="G2350" s="5"/>
      <c r="H2350" s="5"/>
    </row>
    <row r="2351" customFormat="1" spans="7:8">
      <c r="G2351" s="5"/>
      <c r="H2351" s="5"/>
    </row>
    <row r="2352" customFormat="1" spans="7:8">
      <c r="G2352" s="5"/>
      <c r="H2352" s="5"/>
    </row>
    <row r="2353" customFormat="1" spans="7:8">
      <c r="G2353" s="5"/>
      <c r="H2353" s="5"/>
    </row>
    <row r="2354" customFormat="1" spans="7:8">
      <c r="G2354" s="5"/>
      <c r="H2354" s="5"/>
    </row>
    <row r="2355" customFormat="1" spans="7:8">
      <c r="G2355" s="5"/>
      <c r="H2355" s="5"/>
    </row>
    <row r="2356" customFormat="1" spans="7:8">
      <c r="G2356" s="5"/>
      <c r="H2356" s="5"/>
    </row>
    <row r="2357" customFormat="1" spans="7:8">
      <c r="G2357" s="5"/>
      <c r="H2357" s="5"/>
    </row>
    <row r="2358" customFormat="1" spans="7:8">
      <c r="G2358" s="5"/>
      <c r="H2358" s="5"/>
    </row>
    <row r="2359" customFormat="1" spans="7:8">
      <c r="G2359" s="5"/>
      <c r="H2359" s="5"/>
    </row>
    <row r="2360" customFormat="1" spans="7:8">
      <c r="G2360" s="5"/>
      <c r="H2360" s="5"/>
    </row>
    <row r="2361" customFormat="1" spans="7:8">
      <c r="G2361" s="5"/>
      <c r="H2361" s="5"/>
    </row>
    <row r="2362" customFormat="1" spans="7:8">
      <c r="G2362" s="5"/>
      <c r="H2362" s="5"/>
    </row>
    <row r="2363" customFormat="1" spans="7:8">
      <c r="G2363" s="5"/>
      <c r="H2363" s="5"/>
    </row>
    <row r="2364" customFormat="1" spans="7:8">
      <c r="G2364" s="5"/>
      <c r="H2364" s="5"/>
    </row>
    <row r="2365" customFormat="1" spans="7:8">
      <c r="G2365" s="5"/>
      <c r="H2365" s="5"/>
    </row>
    <row r="2366" customFormat="1" spans="7:8">
      <c r="G2366" s="5"/>
      <c r="H2366" s="5"/>
    </row>
    <row r="2367" customFormat="1" spans="7:8">
      <c r="G2367" s="5"/>
      <c r="H2367" s="5"/>
    </row>
    <row r="2368" customFormat="1" spans="7:8">
      <c r="G2368" s="5"/>
      <c r="H2368" s="5"/>
    </row>
    <row r="2369" customFormat="1" spans="7:8">
      <c r="G2369" s="5"/>
      <c r="H2369" s="5"/>
    </row>
    <row r="2370" customFormat="1" spans="7:8">
      <c r="G2370" s="5"/>
      <c r="H2370" s="5"/>
    </row>
    <row r="2371" customFormat="1" spans="7:8">
      <c r="G2371" s="5"/>
      <c r="H2371" s="5"/>
    </row>
    <row r="2372" customFormat="1" spans="7:8">
      <c r="G2372" s="5"/>
      <c r="H2372" s="5"/>
    </row>
    <row r="2373" customFormat="1" spans="7:8">
      <c r="G2373" s="5"/>
      <c r="H2373" s="5"/>
    </row>
    <row r="2374" customFormat="1" spans="7:8">
      <c r="G2374" s="5"/>
      <c r="H2374" s="5"/>
    </row>
    <row r="2375" customFormat="1" spans="7:8">
      <c r="G2375" s="5"/>
      <c r="H2375" s="5"/>
    </row>
    <row r="2376" customFormat="1" spans="7:8">
      <c r="G2376" s="5"/>
      <c r="H2376" s="5"/>
    </row>
    <row r="2377" customFormat="1" spans="7:8">
      <c r="G2377" s="5"/>
      <c r="H2377" s="5"/>
    </row>
    <row r="2378" customFormat="1" spans="7:8">
      <c r="G2378" s="5"/>
      <c r="H2378" s="5"/>
    </row>
    <row r="2379" customFormat="1" spans="7:8">
      <c r="G2379" s="5"/>
      <c r="H2379" s="5"/>
    </row>
    <row r="2380" customFormat="1" spans="7:8">
      <c r="G2380" s="5"/>
      <c r="H2380" s="5"/>
    </row>
    <row r="2381" customFormat="1" spans="7:8">
      <c r="G2381" s="5"/>
      <c r="H2381" s="5"/>
    </row>
    <row r="2382" customFormat="1" spans="7:8">
      <c r="G2382" s="5"/>
      <c r="H2382" s="5"/>
    </row>
    <row r="2383" customFormat="1" spans="7:8">
      <c r="G2383" s="5"/>
      <c r="H2383" s="5"/>
    </row>
    <row r="2384" customFormat="1" spans="7:8">
      <c r="G2384" s="5"/>
      <c r="H2384" s="5"/>
    </row>
    <row r="2385" customFormat="1" spans="7:8">
      <c r="G2385" s="5"/>
      <c r="H2385" s="5"/>
    </row>
    <row r="2386" customFormat="1" spans="7:8">
      <c r="G2386" s="5"/>
      <c r="H2386" s="5"/>
    </row>
    <row r="2387" customFormat="1" spans="7:8">
      <c r="G2387" s="5"/>
      <c r="H2387" s="5"/>
    </row>
    <row r="2388" customFormat="1" spans="7:8">
      <c r="G2388" s="5"/>
      <c r="H2388" s="5"/>
    </row>
    <row r="2389" customFormat="1" spans="7:8">
      <c r="G2389" s="5"/>
      <c r="H2389" s="5"/>
    </row>
    <row r="2390" customFormat="1" spans="7:8">
      <c r="G2390" s="5"/>
      <c r="H2390" s="5"/>
    </row>
    <row r="2391" customFormat="1" spans="7:8">
      <c r="G2391" s="5"/>
      <c r="H2391" s="5"/>
    </row>
    <row r="2392" customFormat="1" spans="7:8">
      <c r="G2392" s="5"/>
      <c r="H2392" s="5"/>
    </row>
    <row r="2393" customFormat="1" spans="7:8">
      <c r="G2393" s="5"/>
      <c r="H2393" s="5"/>
    </row>
    <row r="2394" customFormat="1" spans="7:8">
      <c r="G2394" s="5"/>
      <c r="H2394" s="5"/>
    </row>
    <row r="2395" customFormat="1" spans="7:8">
      <c r="G2395" s="5"/>
      <c r="H2395" s="5"/>
    </row>
    <row r="2396" customFormat="1" spans="7:8">
      <c r="G2396" s="5"/>
      <c r="H2396" s="5"/>
    </row>
    <row r="2397" customFormat="1" spans="7:8">
      <c r="G2397" s="5"/>
      <c r="H2397" s="5"/>
    </row>
    <row r="2398" customFormat="1" spans="7:8">
      <c r="G2398" s="5"/>
      <c r="H2398" s="5"/>
    </row>
    <row r="2399" customFormat="1" spans="7:8">
      <c r="G2399" s="5"/>
      <c r="H2399" s="5"/>
    </row>
    <row r="2400" customFormat="1" spans="7:8">
      <c r="G2400" s="5"/>
      <c r="H2400" s="5"/>
    </row>
    <row r="2401" customFormat="1" spans="7:8">
      <c r="G2401" s="5"/>
      <c r="H2401" s="5"/>
    </row>
    <row r="2402" customFormat="1" spans="7:8">
      <c r="G2402" s="5"/>
      <c r="H2402" s="5"/>
    </row>
    <row r="2403" customFormat="1" spans="7:8">
      <c r="G2403" s="5"/>
      <c r="H2403" s="5"/>
    </row>
    <row r="2404" customFormat="1" spans="7:8">
      <c r="G2404" s="5"/>
      <c r="H2404" s="5"/>
    </row>
    <row r="2405" customFormat="1" spans="7:8">
      <c r="G2405" s="5"/>
      <c r="H2405" s="5"/>
    </row>
    <row r="2406" customFormat="1" spans="7:8">
      <c r="G2406" s="5"/>
      <c r="H2406" s="5"/>
    </row>
    <row r="2407" customFormat="1" spans="7:8">
      <c r="G2407" s="5"/>
      <c r="H2407" s="5"/>
    </row>
    <row r="2408" customFormat="1" spans="7:8">
      <c r="G2408" s="5"/>
      <c r="H2408" s="5"/>
    </row>
    <row r="2409" customFormat="1" spans="7:8">
      <c r="G2409" s="5"/>
      <c r="H2409" s="5"/>
    </row>
    <row r="2410" customFormat="1" spans="7:8">
      <c r="G2410" s="5"/>
      <c r="H2410" s="5"/>
    </row>
    <row r="2411" customFormat="1" spans="7:8">
      <c r="G2411" s="5"/>
      <c r="H2411" s="5"/>
    </row>
    <row r="2412" customFormat="1" spans="7:8">
      <c r="G2412" s="5"/>
      <c r="H2412" s="5"/>
    </row>
    <row r="2413" customFormat="1" spans="7:8">
      <c r="G2413" s="5"/>
      <c r="H2413" s="5"/>
    </row>
    <row r="2414" customFormat="1" spans="7:8">
      <c r="G2414" s="5"/>
      <c r="H2414" s="5"/>
    </row>
    <row r="2415" customFormat="1" spans="7:8">
      <c r="G2415" s="5"/>
      <c r="H2415" s="5"/>
    </row>
    <row r="2416" customFormat="1" spans="7:8">
      <c r="G2416" s="5"/>
      <c r="H2416" s="5"/>
    </row>
    <row r="2417" customFormat="1" spans="7:8">
      <c r="G2417" s="5"/>
      <c r="H2417" s="5"/>
    </row>
    <row r="2418" customFormat="1" spans="7:8">
      <c r="G2418" s="5"/>
      <c r="H2418" s="5"/>
    </row>
    <row r="2419" customFormat="1" spans="7:8">
      <c r="G2419" s="5"/>
      <c r="H2419" s="5"/>
    </row>
    <row r="2420" customFormat="1" spans="7:8">
      <c r="G2420" s="5"/>
      <c r="H2420" s="5"/>
    </row>
    <row r="2421" customFormat="1" spans="7:8">
      <c r="G2421" s="5"/>
      <c r="H2421" s="5"/>
    </row>
    <row r="2422" customFormat="1" spans="7:8">
      <c r="G2422" s="5"/>
      <c r="H2422" s="5"/>
    </row>
    <row r="2423" customFormat="1" spans="7:8">
      <c r="G2423" s="5"/>
      <c r="H2423" s="5"/>
    </row>
    <row r="2424" customFormat="1" spans="7:8">
      <c r="G2424" s="5"/>
      <c r="H2424" s="5"/>
    </row>
    <row r="2425" customFormat="1" spans="7:8">
      <c r="G2425" s="5"/>
      <c r="H2425" s="5"/>
    </row>
    <row r="2426" customFormat="1" spans="7:8">
      <c r="G2426" s="5"/>
      <c r="H2426" s="5"/>
    </row>
    <row r="2427" customFormat="1" spans="7:8">
      <c r="G2427" s="5"/>
      <c r="H2427" s="5"/>
    </row>
    <row r="2428" customFormat="1" spans="7:8">
      <c r="G2428" s="5"/>
      <c r="H2428" s="5"/>
    </row>
    <row r="2429" customFormat="1" spans="7:8">
      <c r="G2429" s="5"/>
      <c r="H2429" s="5"/>
    </row>
    <row r="2430" customFormat="1" spans="7:8">
      <c r="G2430" s="5"/>
      <c r="H2430" s="5"/>
    </row>
    <row r="2431" customFormat="1" spans="7:8">
      <c r="G2431" s="5"/>
      <c r="H2431" s="5"/>
    </row>
    <row r="2432" customFormat="1" spans="7:8">
      <c r="G2432" s="5"/>
      <c r="H2432" s="5"/>
    </row>
    <row r="2433" customFormat="1" spans="7:8">
      <c r="G2433" s="5"/>
      <c r="H2433" s="5"/>
    </row>
    <row r="2434" customFormat="1" spans="7:8">
      <c r="G2434" s="5"/>
      <c r="H2434" s="5"/>
    </row>
    <row r="2435" customFormat="1" spans="7:8">
      <c r="G2435" s="5"/>
      <c r="H2435" s="5"/>
    </row>
    <row r="2436" customFormat="1" spans="7:8">
      <c r="G2436" s="5"/>
      <c r="H2436" s="5"/>
    </row>
    <row r="2437" customFormat="1" spans="7:8">
      <c r="G2437" s="5"/>
      <c r="H2437" s="5"/>
    </row>
    <row r="2438" customFormat="1" spans="7:8">
      <c r="G2438" s="5"/>
      <c r="H2438" s="5"/>
    </row>
    <row r="2439" customFormat="1" spans="7:8">
      <c r="G2439" s="5"/>
      <c r="H2439" s="5"/>
    </row>
    <row r="2440" customFormat="1" spans="7:8">
      <c r="G2440" s="5"/>
      <c r="H2440" s="5"/>
    </row>
    <row r="2441" customFormat="1" spans="7:8">
      <c r="G2441" s="5"/>
      <c r="H2441" s="5"/>
    </row>
    <row r="2442" customFormat="1" spans="7:8">
      <c r="G2442" s="5"/>
      <c r="H2442" s="5"/>
    </row>
    <row r="2443" customFormat="1" spans="7:8">
      <c r="G2443" s="5"/>
      <c r="H2443" s="5"/>
    </row>
    <row r="2444" customFormat="1" spans="7:8">
      <c r="G2444" s="5"/>
      <c r="H2444" s="5"/>
    </row>
    <row r="2445" customFormat="1" spans="7:8">
      <c r="G2445" s="5"/>
      <c r="H2445" s="5"/>
    </row>
    <row r="2446" customFormat="1" spans="7:8">
      <c r="G2446" s="5"/>
      <c r="H2446" s="5"/>
    </row>
    <row r="2447" customFormat="1" spans="7:8">
      <c r="G2447" s="5"/>
      <c r="H2447" s="5"/>
    </row>
    <row r="2448" customFormat="1" spans="7:8">
      <c r="G2448" s="5"/>
      <c r="H2448" s="5"/>
    </row>
    <row r="2449" customFormat="1" spans="7:8">
      <c r="G2449" s="5"/>
      <c r="H2449" s="5"/>
    </row>
    <row r="2450" customFormat="1" spans="7:8">
      <c r="G2450" s="5"/>
      <c r="H2450" s="5"/>
    </row>
    <row r="2451" customFormat="1" spans="7:8">
      <c r="G2451" s="5"/>
      <c r="H2451" s="5"/>
    </row>
    <row r="2452" customFormat="1" spans="7:8">
      <c r="G2452" s="5"/>
      <c r="H2452" s="5"/>
    </row>
    <row r="2453" customFormat="1" spans="7:8">
      <c r="G2453" s="5"/>
      <c r="H2453" s="5"/>
    </row>
    <row r="2454" customFormat="1" spans="7:8">
      <c r="G2454" s="5"/>
      <c r="H2454" s="5"/>
    </row>
    <row r="2455" customFormat="1" spans="7:8">
      <c r="G2455" s="5"/>
      <c r="H2455" s="5"/>
    </row>
    <row r="2456" customFormat="1" spans="7:8">
      <c r="G2456" s="5"/>
      <c r="H2456" s="5"/>
    </row>
    <row r="2457" customFormat="1" spans="7:8">
      <c r="G2457" s="5"/>
      <c r="H2457" s="5"/>
    </row>
    <row r="2458" customFormat="1" spans="7:8">
      <c r="G2458" s="5"/>
      <c r="H2458" s="5"/>
    </row>
    <row r="2459" customFormat="1" spans="7:8">
      <c r="G2459" s="5"/>
      <c r="H2459" s="5"/>
    </row>
    <row r="2460" customFormat="1" spans="7:8">
      <c r="G2460" s="5"/>
      <c r="H2460" s="5"/>
    </row>
    <row r="2461" customFormat="1" spans="7:8">
      <c r="G2461" s="5"/>
      <c r="H2461" s="5"/>
    </row>
    <row r="2462" customFormat="1" spans="7:8">
      <c r="G2462" s="5"/>
      <c r="H2462" s="5"/>
    </row>
    <row r="2463" customFormat="1" spans="7:8">
      <c r="G2463" s="5"/>
      <c r="H2463" s="5"/>
    </row>
    <row r="2464" customFormat="1" spans="7:8">
      <c r="G2464" s="5"/>
      <c r="H2464" s="5"/>
    </row>
    <row r="2465" customFormat="1" spans="7:8">
      <c r="G2465" s="5"/>
      <c r="H2465" s="5"/>
    </row>
    <row r="2466" customFormat="1" spans="7:8">
      <c r="G2466" s="5"/>
      <c r="H2466" s="5"/>
    </row>
    <row r="2467" customFormat="1" spans="7:8">
      <c r="G2467" s="5"/>
      <c r="H2467" s="5"/>
    </row>
    <row r="2468" customFormat="1" spans="7:8">
      <c r="G2468" s="5"/>
      <c r="H2468" s="5"/>
    </row>
    <row r="2469" customFormat="1" spans="7:8">
      <c r="G2469" s="5"/>
      <c r="H2469" s="5"/>
    </row>
    <row r="2470" customFormat="1" spans="7:8">
      <c r="G2470" s="5"/>
      <c r="H2470" s="5"/>
    </row>
    <row r="2471" customFormat="1" spans="7:8">
      <c r="G2471" s="5"/>
      <c r="H2471" s="5"/>
    </row>
    <row r="2472" customFormat="1" spans="7:8">
      <c r="G2472" s="5"/>
      <c r="H2472" s="5"/>
    </row>
    <row r="2473" customFormat="1" spans="7:8">
      <c r="G2473" s="5"/>
      <c r="H2473" s="5"/>
    </row>
    <row r="2474" customFormat="1" spans="7:8">
      <c r="G2474" s="5"/>
      <c r="H2474" s="5"/>
    </row>
    <row r="2475" customFormat="1" spans="7:8">
      <c r="G2475" s="5"/>
      <c r="H2475" s="5"/>
    </row>
    <row r="2476" customFormat="1" spans="7:8">
      <c r="G2476" s="5"/>
      <c r="H2476" s="5"/>
    </row>
    <row r="2477" customFormat="1" spans="7:8">
      <c r="G2477" s="5"/>
      <c r="H2477" s="5"/>
    </row>
    <row r="2478" customFormat="1" spans="7:8">
      <c r="G2478" s="5"/>
      <c r="H2478" s="5"/>
    </row>
    <row r="2479" customFormat="1" spans="7:8">
      <c r="G2479" s="5"/>
      <c r="H2479" s="5"/>
    </row>
    <row r="2480" customFormat="1" spans="7:8">
      <c r="G2480" s="5"/>
      <c r="H2480" s="5"/>
    </row>
    <row r="2481" customFormat="1" spans="7:8">
      <c r="G2481" s="5"/>
      <c r="H2481" s="5"/>
    </row>
    <row r="2482" customFormat="1" spans="7:8">
      <c r="G2482" s="5"/>
      <c r="H2482" s="5"/>
    </row>
    <row r="2483" customFormat="1" spans="7:8">
      <c r="G2483" s="5"/>
      <c r="H2483" s="5"/>
    </row>
    <row r="2484" customFormat="1" spans="7:8">
      <c r="G2484" s="5"/>
      <c r="H2484" s="5"/>
    </row>
    <row r="2485" customFormat="1" spans="7:8">
      <c r="G2485" s="5"/>
      <c r="H2485" s="5"/>
    </row>
    <row r="2486" customFormat="1" spans="7:8">
      <c r="G2486" s="5"/>
      <c r="H2486" s="5"/>
    </row>
    <row r="2487" customFormat="1" spans="7:8">
      <c r="G2487" s="5"/>
      <c r="H2487" s="5"/>
    </row>
    <row r="2488" customFormat="1" spans="7:8">
      <c r="G2488" s="5"/>
      <c r="H2488" s="5"/>
    </row>
    <row r="2489" customFormat="1" spans="7:8">
      <c r="G2489" s="5"/>
      <c r="H2489" s="5"/>
    </row>
    <row r="2490" customFormat="1" spans="7:8">
      <c r="G2490" s="5"/>
      <c r="H2490" s="5"/>
    </row>
    <row r="2491" customFormat="1" spans="7:8">
      <c r="G2491" s="5"/>
      <c r="H2491" s="5"/>
    </row>
    <row r="2492" customFormat="1" spans="7:8">
      <c r="G2492" s="5"/>
      <c r="H2492" s="5"/>
    </row>
    <row r="2493" customFormat="1" spans="7:8">
      <c r="G2493" s="5"/>
      <c r="H2493" s="5"/>
    </row>
    <row r="2494" customFormat="1" spans="7:8">
      <c r="G2494" s="5"/>
      <c r="H2494" s="5"/>
    </row>
    <row r="2495" customFormat="1" spans="7:8">
      <c r="G2495" s="5"/>
      <c r="H2495" s="5"/>
    </row>
    <row r="2496" customFormat="1" spans="7:8">
      <c r="G2496" s="5"/>
      <c r="H2496" s="5"/>
    </row>
    <row r="2497" customFormat="1" spans="7:8">
      <c r="G2497" s="5"/>
      <c r="H2497" s="5"/>
    </row>
    <row r="2498" customFormat="1" spans="7:8">
      <c r="G2498" s="5"/>
      <c r="H2498" s="5"/>
    </row>
    <row r="2499" customFormat="1" spans="7:8">
      <c r="G2499" s="5"/>
      <c r="H2499" s="5"/>
    </row>
    <row r="2500" customFormat="1" spans="7:8">
      <c r="G2500" s="5"/>
      <c r="H2500" s="5"/>
    </row>
    <row r="2501" customFormat="1" spans="7:8">
      <c r="G2501" s="5"/>
      <c r="H2501" s="5"/>
    </row>
    <row r="2502" customFormat="1" spans="7:8">
      <c r="G2502" s="5"/>
      <c r="H2502" s="5"/>
    </row>
    <row r="2503" customFormat="1" spans="7:8">
      <c r="G2503" s="5"/>
      <c r="H2503" s="5"/>
    </row>
    <row r="2504" customFormat="1" spans="7:8">
      <c r="G2504" s="5"/>
      <c r="H2504" s="5"/>
    </row>
    <row r="2505" customFormat="1" spans="7:8">
      <c r="G2505" s="5"/>
      <c r="H2505" s="5"/>
    </row>
    <row r="2506" customFormat="1" spans="7:8">
      <c r="G2506" s="5"/>
      <c r="H2506" s="5"/>
    </row>
    <row r="2507" customFormat="1" spans="7:8">
      <c r="G2507" s="5"/>
      <c r="H2507" s="5"/>
    </row>
    <row r="2508" customFormat="1" spans="7:8">
      <c r="G2508" s="5"/>
      <c r="H2508" s="5"/>
    </row>
    <row r="2509" customFormat="1" spans="7:8">
      <c r="G2509" s="5"/>
      <c r="H2509" s="5"/>
    </row>
    <row r="2510" customFormat="1" spans="7:8">
      <c r="G2510" s="5"/>
      <c r="H2510" s="5"/>
    </row>
    <row r="2511" customFormat="1" spans="7:8">
      <c r="G2511" s="5"/>
      <c r="H2511" s="5"/>
    </row>
    <row r="2512" customFormat="1" spans="7:8">
      <c r="G2512" s="5"/>
      <c r="H2512" s="5"/>
    </row>
    <row r="2513" customFormat="1" spans="7:8">
      <c r="G2513" s="5"/>
      <c r="H2513" s="5"/>
    </row>
    <row r="2514" customFormat="1" spans="7:8">
      <c r="G2514" s="5"/>
      <c r="H2514" s="5"/>
    </row>
    <row r="2515" customFormat="1" spans="7:8">
      <c r="G2515" s="5"/>
      <c r="H2515" s="5"/>
    </row>
    <row r="2516" customFormat="1" spans="7:8">
      <c r="G2516" s="5"/>
      <c r="H2516" s="5"/>
    </row>
    <row r="2517" customFormat="1" spans="7:8">
      <c r="G2517" s="5"/>
      <c r="H2517" s="5"/>
    </row>
    <row r="2518" customFormat="1" spans="7:8">
      <c r="G2518" s="5"/>
      <c r="H2518" s="5"/>
    </row>
    <row r="2519" customFormat="1" spans="7:8">
      <c r="G2519" s="5"/>
      <c r="H2519" s="5"/>
    </row>
    <row r="2520" customFormat="1" spans="7:8">
      <c r="G2520" s="5"/>
      <c r="H2520" s="5"/>
    </row>
    <row r="2521" customFormat="1" spans="7:8">
      <c r="G2521" s="5"/>
      <c r="H2521" s="5"/>
    </row>
    <row r="2522" customFormat="1" spans="7:8">
      <c r="G2522" s="5"/>
      <c r="H2522" s="5"/>
    </row>
    <row r="2523" customFormat="1" spans="7:8">
      <c r="G2523" s="5"/>
      <c r="H2523" s="5"/>
    </row>
    <row r="2524" customFormat="1" spans="7:8">
      <c r="G2524" s="5"/>
      <c r="H2524" s="5"/>
    </row>
    <row r="2525" customFormat="1" spans="7:8">
      <c r="G2525" s="5"/>
      <c r="H2525" s="5"/>
    </row>
    <row r="2526" customFormat="1" spans="7:8">
      <c r="G2526" s="5"/>
      <c r="H2526" s="5"/>
    </row>
    <row r="2527" customFormat="1" spans="7:8">
      <c r="G2527" s="5"/>
      <c r="H2527" s="5"/>
    </row>
    <row r="2528" customFormat="1" spans="7:8">
      <c r="G2528" s="5"/>
      <c r="H2528" s="5"/>
    </row>
    <row r="2529" customFormat="1" spans="7:8">
      <c r="G2529" s="5"/>
      <c r="H2529" s="5"/>
    </row>
    <row r="2530" customFormat="1" spans="7:8">
      <c r="G2530" s="5"/>
      <c r="H2530" s="5"/>
    </row>
    <row r="2531" customFormat="1" spans="7:8">
      <c r="G2531" s="5"/>
      <c r="H2531" s="5"/>
    </row>
    <row r="2532" customFormat="1" spans="7:8">
      <c r="G2532" s="5"/>
      <c r="H2532" s="5"/>
    </row>
    <row r="2533" customFormat="1" spans="7:8">
      <c r="G2533" s="5"/>
      <c r="H2533" s="5"/>
    </row>
    <row r="2534" customFormat="1" spans="7:8">
      <c r="G2534" s="5"/>
      <c r="H2534" s="5"/>
    </row>
    <row r="2535" customFormat="1" spans="7:8">
      <c r="G2535" s="5"/>
      <c r="H2535" s="5"/>
    </row>
    <row r="2536" customFormat="1" spans="7:8">
      <c r="G2536" s="5"/>
      <c r="H2536" s="5"/>
    </row>
    <row r="2537" customFormat="1" spans="7:8">
      <c r="G2537" s="5"/>
      <c r="H2537" s="5"/>
    </row>
    <row r="2538" customFormat="1" spans="7:8">
      <c r="G2538" s="5"/>
      <c r="H2538" s="5"/>
    </row>
    <row r="2539" customFormat="1" spans="7:8">
      <c r="G2539" s="5"/>
      <c r="H2539" s="5"/>
    </row>
    <row r="2540" customFormat="1" spans="7:8">
      <c r="G2540" s="5"/>
      <c r="H2540" s="5"/>
    </row>
    <row r="2541" customFormat="1" spans="7:8">
      <c r="G2541" s="5"/>
      <c r="H2541" s="5"/>
    </row>
    <row r="2542" customFormat="1" spans="7:8">
      <c r="G2542" s="5"/>
      <c r="H2542" s="5"/>
    </row>
    <row r="2543" customFormat="1" spans="7:8">
      <c r="G2543" s="5"/>
      <c r="H2543" s="5"/>
    </row>
    <row r="2544" customFormat="1" spans="7:8">
      <c r="G2544" s="5"/>
      <c r="H2544" s="5"/>
    </row>
    <row r="2545" customFormat="1" spans="7:8">
      <c r="G2545" s="5"/>
      <c r="H2545" s="5"/>
    </row>
    <row r="2546" customFormat="1" spans="7:8">
      <c r="G2546" s="5"/>
      <c r="H2546" s="5"/>
    </row>
    <row r="2547" customFormat="1" spans="7:8">
      <c r="G2547" s="5"/>
      <c r="H2547" s="5"/>
    </row>
    <row r="2548" customFormat="1" spans="7:8">
      <c r="G2548" s="5"/>
      <c r="H2548" s="5"/>
    </row>
    <row r="2549" customFormat="1" spans="7:8">
      <c r="G2549" s="5"/>
      <c r="H2549" s="5"/>
    </row>
    <row r="2550" customFormat="1" spans="7:8">
      <c r="G2550" s="5"/>
      <c r="H2550" s="5"/>
    </row>
    <row r="2551" customFormat="1" spans="7:8">
      <c r="G2551" s="5"/>
      <c r="H2551" s="5"/>
    </row>
    <row r="2552" customFormat="1" spans="7:8">
      <c r="G2552" s="5"/>
      <c r="H2552" s="5"/>
    </row>
    <row r="2553" customFormat="1" spans="7:8">
      <c r="G2553" s="5"/>
      <c r="H2553" s="5"/>
    </row>
    <row r="2554" customFormat="1" spans="7:8">
      <c r="G2554" s="5"/>
      <c r="H2554" s="5"/>
    </row>
    <row r="2555" customFormat="1" spans="7:8">
      <c r="G2555" s="5"/>
      <c r="H2555" s="5"/>
    </row>
    <row r="2556" customFormat="1" spans="7:8">
      <c r="G2556" s="5"/>
      <c r="H2556" s="5"/>
    </row>
    <row r="2557" customFormat="1" spans="7:8">
      <c r="G2557" s="5"/>
      <c r="H2557" s="5"/>
    </row>
    <row r="2558" customFormat="1" spans="7:8">
      <c r="G2558" s="5"/>
      <c r="H2558" s="5"/>
    </row>
    <row r="2559" customFormat="1" spans="7:8">
      <c r="G2559" s="5"/>
      <c r="H2559" s="5"/>
    </row>
    <row r="2560" customFormat="1" spans="7:8">
      <c r="G2560" s="5"/>
      <c r="H2560" s="5"/>
    </row>
    <row r="2561" customFormat="1" spans="7:8">
      <c r="G2561" s="5"/>
      <c r="H2561" s="5"/>
    </row>
    <row r="2562" customFormat="1" spans="7:8">
      <c r="G2562" s="5"/>
      <c r="H2562" s="5"/>
    </row>
    <row r="2563" customFormat="1" spans="7:8">
      <c r="G2563" s="5"/>
      <c r="H2563" s="5"/>
    </row>
    <row r="2564" customFormat="1" spans="7:8">
      <c r="G2564" s="5"/>
      <c r="H2564" s="5"/>
    </row>
    <row r="2565" customFormat="1" spans="7:8">
      <c r="G2565" s="5"/>
      <c r="H2565" s="5"/>
    </row>
    <row r="2566" customFormat="1" spans="7:8">
      <c r="G2566" s="5"/>
      <c r="H2566" s="5"/>
    </row>
    <row r="2567" customFormat="1" spans="7:8">
      <c r="G2567" s="5"/>
      <c r="H2567" s="5"/>
    </row>
    <row r="2568" customFormat="1" spans="7:8">
      <c r="G2568" s="5"/>
      <c r="H2568" s="5"/>
    </row>
    <row r="2569" customFormat="1" spans="7:8">
      <c r="G2569" s="5"/>
      <c r="H2569" s="5"/>
    </row>
    <row r="2570" customFormat="1" spans="7:8">
      <c r="G2570" s="5"/>
      <c r="H2570" s="5"/>
    </row>
    <row r="2571" customFormat="1" spans="7:8">
      <c r="G2571" s="5"/>
      <c r="H2571" s="5"/>
    </row>
    <row r="2572" customFormat="1" spans="7:8">
      <c r="G2572" s="5"/>
      <c r="H2572" s="5"/>
    </row>
    <row r="2573" customFormat="1" spans="7:8">
      <c r="G2573" s="5"/>
      <c r="H2573" s="5"/>
    </row>
    <row r="2574" customFormat="1" spans="7:8">
      <c r="G2574" s="5"/>
      <c r="H2574" s="5"/>
    </row>
    <row r="2575" customFormat="1" spans="7:8">
      <c r="G2575" s="5"/>
      <c r="H2575" s="5"/>
    </row>
    <row r="2576" customFormat="1" spans="7:8">
      <c r="G2576" s="5"/>
      <c r="H2576" s="5"/>
    </row>
    <row r="2577" customFormat="1" spans="7:8">
      <c r="G2577" s="5"/>
      <c r="H2577" s="5"/>
    </row>
    <row r="2578" customFormat="1" spans="7:8">
      <c r="G2578" s="5"/>
      <c r="H2578" s="5"/>
    </row>
    <row r="2579" customFormat="1" spans="7:8">
      <c r="G2579" s="5"/>
      <c r="H2579" s="5"/>
    </row>
    <row r="2580" customFormat="1" spans="7:8">
      <c r="G2580" s="5"/>
      <c r="H2580" s="5"/>
    </row>
    <row r="2581" customFormat="1" spans="7:8">
      <c r="G2581" s="5"/>
      <c r="H2581" s="5"/>
    </row>
    <row r="2582" customFormat="1" spans="7:8">
      <c r="G2582" s="5"/>
      <c r="H2582" s="5"/>
    </row>
    <row r="2583" customFormat="1" spans="7:8">
      <c r="G2583" s="5"/>
      <c r="H2583" s="5"/>
    </row>
    <row r="2584" customFormat="1" spans="7:8">
      <c r="G2584" s="5"/>
      <c r="H2584" s="5"/>
    </row>
    <row r="2585" customFormat="1" spans="7:8">
      <c r="G2585" s="5"/>
      <c r="H2585" s="5"/>
    </row>
    <row r="2586" customFormat="1" spans="7:8">
      <c r="G2586" s="5"/>
      <c r="H2586" s="5"/>
    </row>
    <row r="2587" customFormat="1" spans="7:8">
      <c r="G2587" s="5"/>
      <c r="H2587" s="5"/>
    </row>
    <row r="2588" customFormat="1" spans="7:8">
      <c r="G2588" s="5"/>
      <c r="H2588" s="5"/>
    </row>
    <row r="2589" customFormat="1" spans="7:8">
      <c r="G2589" s="5"/>
      <c r="H2589" s="5"/>
    </row>
    <row r="2590" customFormat="1" spans="7:8">
      <c r="G2590" s="5"/>
      <c r="H2590" s="5"/>
    </row>
    <row r="2591" customFormat="1" spans="7:8">
      <c r="G2591" s="5"/>
      <c r="H2591" s="5"/>
    </row>
    <row r="2592" customFormat="1" spans="7:8">
      <c r="G2592" s="5"/>
      <c r="H2592" s="5"/>
    </row>
    <row r="2593" customFormat="1" spans="7:8">
      <c r="G2593" s="5"/>
      <c r="H2593" s="5"/>
    </row>
    <row r="2594" customFormat="1" spans="7:8">
      <c r="G2594" s="5"/>
      <c r="H2594" s="5"/>
    </row>
    <row r="2595" customFormat="1" spans="7:8">
      <c r="G2595" s="5"/>
      <c r="H2595" s="5"/>
    </row>
    <row r="2596" customFormat="1" spans="7:8">
      <c r="G2596" s="5"/>
      <c r="H2596" s="5"/>
    </row>
    <row r="2597" customFormat="1" spans="7:8">
      <c r="G2597" s="5"/>
      <c r="H2597" s="5"/>
    </row>
    <row r="2598" customFormat="1" spans="7:8">
      <c r="G2598" s="5"/>
      <c r="H2598" s="5"/>
    </row>
    <row r="2599" customFormat="1" spans="7:8">
      <c r="G2599" s="5"/>
      <c r="H2599" s="5"/>
    </row>
    <row r="2600" customFormat="1" spans="7:8">
      <c r="G2600" s="5"/>
      <c r="H2600" s="5"/>
    </row>
    <row r="2601" customFormat="1" spans="7:8">
      <c r="G2601" s="5"/>
      <c r="H2601" s="5"/>
    </row>
    <row r="2602" customFormat="1" spans="7:8">
      <c r="G2602" s="5"/>
      <c r="H2602" s="5"/>
    </row>
    <row r="2603" customFormat="1" spans="7:8">
      <c r="G2603" s="5"/>
      <c r="H2603" s="5"/>
    </row>
    <row r="2604" customFormat="1" spans="7:8">
      <c r="G2604" s="5"/>
      <c r="H2604" s="5"/>
    </row>
    <row r="2605" customFormat="1" spans="7:8">
      <c r="G2605" s="5"/>
      <c r="H2605" s="5"/>
    </row>
    <row r="2606" customFormat="1" spans="7:8">
      <c r="G2606" s="5"/>
      <c r="H2606" s="5"/>
    </row>
    <row r="2607" customFormat="1" spans="7:8">
      <c r="G2607" s="5"/>
      <c r="H2607" s="5"/>
    </row>
    <row r="2608" customFormat="1" spans="7:8">
      <c r="G2608" s="5"/>
      <c r="H2608" s="5"/>
    </row>
    <row r="2609" customFormat="1" spans="7:8">
      <c r="G2609" s="5"/>
      <c r="H2609" s="5"/>
    </row>
    <row r="2610" customFormat="1" spans="7:8">
      <c r="G2610" s="5"/>
      <c r="H2610" s="5"/>
    </row>
    <row r="2611" customFormat="1" spans="7:8">
      <c r="G2611" s="5"/>
      <c r="H2611" s="5"/>
    </row>
    <row r="2612" customFormat="1" spans="7:8">
      <c r="G2612" s="5"/>
      <c r="H2612" s="5"/>
    </row>
    <row r="2613" customFormat="1" spans="7:8">
      <c r="G2613" s="5"/>
      <c r="H2613" s="5"/>
    </row>
    <row r="2614" customFormat="1" spans="7:8">
      <c r="G2614" s="5"/>
      <c r="H2614" s="5"/>
    </row>
    <row r="2615" customFormat="1" spans="7:8">
      <c r="G2615" s="5"/>
      <c r="H2615" s="5"/>
    </row>
    <row r="2616" customFormat="1" spans="7:8">
      <c r="G2616" s="5"/>
      <c r="H2616" s="5"/>
    </row>
    <row r="2617" customFormat="1" spans="7:8">
      <c r="G2617" s="5"/>
      <c r="H2617" s="5"/>
    </row>
    <row r="2618" customFormat="1" spans="7:8">
      <c r="G2618" s="5"/>
      <c r="H2618" s="5"/>
    </row>
    <row r="2619" customFormat="1" spans="7:8">
      <c r="G2619" s="5"/>
      <c r="H2619" s="5"/>
    </row>
    <row r="2620" customFormat="1" spans="7:8">
      <c r="G2620" s="5"/>
      <c r="H2620" s="5"/>
    </row>
    <row r="2621" customFormat="1" spans="7:8">
      <c r="G2621" s="5"/>
      <c r="H2621" s="5"/>
    </row>
    <row r="2622" customFormat="1" spans="7:8">
      <c r="G2622" s="5"/>
      <c r="H2622" s="5"/>
    </row>
    <row r="2623" customFormat="1" spans="7:8">
      <c r="G2623" s="5"/>
      <c r="H2623" s="5"/>
    </row>
    <row r="2624" customFormat="1" spans="7:8">
      <c r="G2624" s="5"/>
      <c r="H2624" s="5"/>
    </row>
    <row r="2625" customFormat="1" spans="7:8">
      <c r="G2625" s="5"/>
      <c r="H2625" s="5"/>
    </row>
    <row r="2626" customFormat="1" spans="7:8">
      <c r="G2626" s="5"/>
      <c r="H2626" s="5"/>
    </row>
    <row r="2627" customFormat="1" spans="7:8">
      <c r="G2627" s="5"/>
      <c r="H2627" s="5"/>
    </row>
    <row r="2628" customFormat="1" spans="7:8">
      <c r="G2628" s="5"/>
      <c r="H2628" s="5"/>
    </row>
    <row r="2629" customFormat="1" spans="7:8">
      <c r="G2629" s="5"/>
      <c r="H2629" s="5"/>
    </row>
    <row r="2630" customFormat="1" spans="7:8">
      <c r="G2630" s="5"/>
      <c r="H2630" s="5"/>
    </row>
    <row r="2631" customFormat="1" spans="7:8">
      <c r="G2631" s="5"/>
      <c r="H2631" s="5"/>
    </row>
    <row r="2632" customFormat="1" spans="7:8">
      <c r="G2632" s="5"/>
      <c r="H2632" s="5"/>
    </row>
    <row r="2633" customFormat="1" spans="7:8">
      <c r="G2633" s="5"/>
      <c r="H2633" s="5"/>
    </row>
    <row r="2634" customFormat="1" spans="7:8">
      <c r="G2634" s="5"/>
      <c r="H2634" s="5"/>
    </row>
    <row r="2635" customFormat="1" spans="7:8">
      <c r="G2635" s="5"/>
      <c r="H2635" s="5"/>
    </row>
    <row r="2636" customFormat="1" spans="7:8">
      <c r="G2636" s="5"/>
      <c r="H2636" s="5"/>
    </row>
    <row r="2637" customFormat="1" spans="7:8">
      <c r="G2637" s="5"/>
      <c r="H2637" s="5"/>
    </row>
    <row r="2638" customFormat="1" spans="7:8">
      <c r="G2638" s="5"/>
      <c r="H2638" s="5"/>
    </row>
    <row r="2639" customFormat="1" spans="7:8">
      <c r="G2639" s="5"/>
      <c r="H2639" s="5"/>
    </row>
    <row r="2640" customFormat="1" spans="7:8">
      <c r="G2640" s="5"/>
      <c r="H2640" s="5"/>
    </row>
    <row r="2641" customFormat="1" spans="7:8">
      <c r="G2641" s="5"/>
      <c r="H2641" s="5"/>
    </row>
    <row r="2642" customFormat="1" spans="7:8">
      <c r="G2642" s="5"/>
      <c r="H2642" s="5"/>
    </row>
    <row r="2643" customFormat="1" spans="7:8">
      <c r="G2643" s="5"/>
      <c r="H2643" s="5"/>
    </row>
    <row r="2644" customFormat="1" spans="7:8">
      <c r="G2644" s="5"/>
      <c r="H2644" s="5"/>
    </row>
    <row r="2645" customFormat="1" spans="7:8">
      <c r="G2645" s="5"/>
      <c r="H2645" s="5"/>
    </row>
    <row r="2646" customFormat="1" spans="7:8">
      <c r="G2646" s="5"/>
      <c r="H2646" s="5"/>
    </row>
    <row r="2647" customFormat="1" spans="7:8">
      <c r="G2647" s="5"/>
      <c r="H2647" s="5"/>
    </row>
    <row r="2648" customFormat="1" spans="7:8">
      <c r="G2648" s="5"/>
      <c r="H2648" s="5"/>
    </row>
    <row r="2649" customFormat="1" spans="7:8">
      <c r="G2649" s="5"/>
      <c r="H2649" s="5"/>
    </row>
    <row r="2650" customFormat="1" spans="7:8">
      <c r="G2650" s="5"/>
      <c r="H2650" s="5"/>
    </row>
    <row r="2651" customFormat="1" spans="7:8">
      <c r="G2651" s="5"/>
      <c r="H2651" s="5"/>
    </row>
    <row r="2652" customFormat="1" spans="7:8">
      <c r="G2652" s="5"/>
      <c r="H2652" s="5"/>
    </row>
    <row r="2653" customFormat="1" spans="7:8">
      <c r="G2653" s="5"/>
      <c r="H2653" s="5"/>
    </row>
    <row r="2654" customFormat="1" spans="7:8">
      <c r="G2654" s="5"/>
      <c r="H2654" s="5"/>
    </row>
    <row r="2655" customFormat="1" spans="7:8">
      <c r="G2655" s="5"/>
      <c r="H2655" s="5"/>
    </row>
    <row r="2656" customFormat="1" spans="7:8">
      <c r="G2656" s="5"/>
      <c r="H2656" s="5"/>
    </row>
    <row r="2657" customFormat="1" spans="7:8">
      <c r="G2657" s="5"/>
      <c r="H2657" s="5"/>
    </row>
    <row r="2658" customFormat="1" spans="7:8">
      <c r="G2658" s="5"/>
      <c r="H2658" s="5"/>
    </row>
    <row r="2659" customFormat="1" spans="7:8">
      <c r="G2659" s="5"/>
      <c r="H2659" s="5"/>
    </row>
    <row r="2660" customFormat="1" spans="7:8">
      <c r="G2660" s="5"/>
      <c r="H2660" s="5"/>
    </row>
    <row r="2661" customFormat="1" spans="7:8">
      <c r="G2661" s="5"/>
      <c r="H2661" s="5"/>
    </row>
    <row r="2662" customFormat="1" spans="7:8">
      <c r="G2662" s="5"/>
      <c r="H2662" s="5"/>
    </row>
    <row r="2663" customFormat="1" spans="7:8">
      <c r="G2663" s="5"/>
      <c r="H2663" s="5"/>
    </row>
    <row r="2664" customFormat="1" spans="7:8">
      <c r="G2664" s="5"/>
      <c r="H2664" s="5"/>
    </row>
    <row r="2665" customFormat="1" spans="7:8">
      <c r="G2665" s="5"/>
      <c r="H2665" s="5"/>
    </row>
    <row r="2666" customFormat="1" spans="7:8">
      <c r="G2666" s="5"/>
      <c r="H2666" s="5"/>
    </row>
    <row r="2667" customFormat="1" spans="7:8">
      <c r="G2667" s="5"/>
      <c r="H2667" s="5"/>
    </row>
    <row r="2668" customFormat="1" spans="7:8">
      <c r="G2668" s="5"/>
      <c r="H2668" s="5"/>
    </row>
    <row r="2669" customFormat="1" spans="7:8">
      <c r="G2669" s="5"/>
      <c r="H2669" s="5"/>
    </row>
    <row r="2670" customFormat="1" spans="7:8">
      <c r="G2670" s="5"/>
      <c r="H2670" s="5"/>
    </row>
    <row r="2671" customFormat="1" spans="7:8">
      <c r="G2671" s="5"/>
      <c r="H2671" s="5"/>
    </row>
    <row r="2672" customFormat="1" spans="7:8">
      <c r="G2672" s="5"/>
      <c r="H2672" s="5"/>
    </row>
    <row r="2673" customFormat="1" spans="7:8">
      <c r="G2673" s="5"/>
      <c r="H2673" s="5"/>
    </row>
    <row r="2674" customFormat="1" spans="7:8">
      <c r="G2674" s="5"/>
      <c r="H2674" s="5"/>
    </row>
    <row r="2675" customFormat="1" spans="7:8">
      <c r="G2675" s="5"/>
      <c r="H2675" s="5"/>
    </row>
    <row r="2676" customFormat="1" spans="7:8">
      <c r="G2676" s="5"/>
      <c r="H2676" s="5"/>
    </row>
    <row r="2677" customFormat="1" spans="7:8">
      <c r="G2677" s="5"/>
      <c r="H2677" s="5"/>
    </row>
    <row r="2678" customFormat="1" spans="7:8">
      <c r="G2678" s="5"/>
      <c r="H2678" s="5"/>
    </row>
    <row r="2679" customFormat="1" spans="7:8">
      <c r="G2679" s="5"/>
      <c r="H2679" s="5"/>
    </row>
    <row r="2680" customFormat="1" spans="7:8">
      <c r="G2680" s="5"/>
      <c r="H2680" s="5"/>
    </row>
    <row r="2681" customFormat="1" spans="7:8">
      <c r="G2681" s="5"/>
      <c r="H2681" s="5"/>
    </row>
    <row r="2682" customFormat="1" spans="7:8">
      <c r="G2682" s="5"/>
      <c r="H2682" s="5"/>
    </row>
    <row r="2683" customFormat="1" spans="7:8">
      <c r="G2683" s="5"/>
      <c r="H2683" s="5"/>
    </row>
    <row r="2684" customFormat="1" spans="7:8">
      <c r="G2684" s="5"/>
      <c r="H2684" s="5"/>
    </row>
    <row r="2685" customFormat="1" spans="7:8">
      <c r="G2685" s="5"/>
      <c r="H2685" s="5"/>
    </row>
    <row r="2686" customFormat="1" spans="7:8">
      <c r="G2686" s="5"/>
      <c r="H2686" s="5"/>
    </row>
    <row r="2687" customFormat="1" spans="7:8">
      <c r="G2687" s="5"/>
      <c r="H2687" s="5"/>
    </row>
    <row r="2688" customFormat="1" spans="7:8">
      <c r="G2688" s="5"/>
      <c r="H2688" s="5"/>
    </row>
    <row r="2689" customFormat="1" spans="7:8">
      <c r="G2689" s="5"/>
      <c r="H2689" s="5"/>
    </row>
    <row r="2690" customFormat="1" spans="7:8">
      <c r="G2690" s="5"/>
      <c r="H2690" s="5"/>
    </row>
    <row r="2691" customFormat="1" spans="7:8">
      <c r="G2691" s="5"/>
      <c r="H2691" s="5"/>
    </row>
    <row r="2692" customFormat="1" spans="7:8">
      <c r="G2692" s="5"/>
      <c r="H2692" s="5"/>
    </row>
    <row r="2693" customFormat="1" spans="7:8">
      <c r="G2693" s="5"/>
      <c r="H2693" s="5"/>
    </row>
    <row r="2694" customFormat="1" spans="7:8">
      <c r="G2694" s="5"/>
      <c r="H2694" s="5"/>
    </row>
    <row r="2695" customFormat="1" spans="7:8">
      <c r="G2695" s="5"/>
      <c r="H2695" s="5"/>
    </row>
    <row r="2696" customFormat="1" spans="7:8">
      <c r="G2696" s="5"/>
      <c r="H2696" s="5"/>
    </row>
    <row r="2697" customFormat="1" spans="7:8">
      <c r="G2697" s="5"/>
      <c r="H2697" s="5"/>
    </row>
    <row r="2698" customFormat="1" spans="7:8">
      <c r="G2698" s="5"/>
      <c r="H2698" s="5"/>
    </row>
    <row r="2699" customFormat="1" spans="7:8">
      <c r="G2699" s="5"/>
      <c r="H2699" s="5"/>
    </row>
    <row r="2700" customFormat="1" spans="7:8">
      <c r="G2700" s="5"/>
      <c r="H2700" s="5"/>
    </row>
    <row r="2701" customFormat="1" spans="7:8">
      <c r="G2701" s="5"/>
      <c r="H2701" s="5"/>
    </row>
    <row r="2702" customFormat="1" spans="7:8">
      <c r="G2702" s="5"/>
      <c r="H2702" s="5"/>
    </row>
    <row r="2703" customFormat="1" spans="7:8">
      <c r="G2703" s="5"/>
      <c r="H2703" s="5"/>
    </row>
    <row r="2704" customFormat="1" spans="7:8">
      <c r="G2704" s="5"/>
      <c r="H2704" s="5"/>
    </row>
    <row r="2705" customFormat="1" spans="7:8">
      <c r="G2705" s="5"/>
      <c r="H2705" s="5"/>
    </row>
    <row r="2706" customFormat="1" spans="7:8">
      <c r="G2706" s="5"/>
      <c r="H2706" s="5"/>
    </row>
    <row r="2707" customFormat="1" spans="7:8">
      <c r="G2707" s="5"/>
      <c r="H2707" s="5"/>
    </row>
    <row r="2708" customFormat="1" spans="7:8">
      <c r="G2708" s="5"/>
      <c r="H2708" s="5"/>
    </row>
    <row r="2709" customFormat="1" spans="7:8">
      <c r="G2709" s="5"/>
      <c r="H2709" s="5"/>
    </row>
    <row r="2710" customFormat="1" spans="7:8">
      <c r="G2710" s="5"/>
      <c r="H2710" s="5"/>
    </row>
    <row r="2711" customFormat="1" spans="7:8">
      <c r="G2711" s="5"/>
      <c r="H2711" s="5"/>
    </row>
    <row r="2712" customFormat="1" spans="7:8">
      <c r="G2712" s="5"/>
      <c r="H2712" s="5"/>
    </row>
    <row r="2713" customFormat="1" spans="7:8">
      <c r="G2713" s="5"/>
      <c r="H2713" s="5"/>
    </row>
    <row r="2714" customFormat="1" spans="7:8">
      <c r="G2714" s="5"/>
      <c r="H2714" s="5"/>
    </row>
    <row r="2715" customFormat="1" spans="7:8">
      <c r="G2715" s="5"/>
      <c r="H2715" s="5"/>
    </row>
    <row r="2716" customFormat="1" spans="7:8">
      <c r="G2716" s="5"/>
      <c r="H2716" s="5"/>
    </row>
    <row r="2717" customFormat="1" spans="7:8">
      <c r="G2717" s="5"/>
      <c r="H2717" s="5"/>
    </row>
    <row r="2718" customFormat="1" spans="7:8">
      <c r="G2718" s="5"/>
      <c r="H2718" s="5"/>
    </row>
    <row r="2719" customFormat="1" spans="7:8">
      <c r="G2719" s="5"/>
      <c r="H2719" s="5"/>
    </row>
    <row r="2720" customFormat="1" spans="7:8">
      <c r="G2720" s="5"/>
      <c r="H2720" s="5"/>
    </row>
    <row r="2721" customFormat="1" spans="7:8">
      <c r="G2721" s="5"/>
      <c r="H2721" s="5"/>
    </row>
    <row r="2722" customFormat="1" spans="7:8">
      <c r="G2722" s="5"/>
      <c r="H2722" s="5"/>
    </row>
    <row r="2723" customFormat="1" spans="7:8">
      <c r="G2723" s="5"/>
      <c r="H2723" s="5"/>
    </row>
    <row r="2724" customFormat="1" spans="7:8">
      <c r="G2724" s="5"/>
      <c r="H2724" s="5"/>
    </row>
    <row r="2725" customFormat="1" spans="7:8">
      <c r="G2725" s="5"/>
      <c r="H2725" s="5"/>
    </row>
    <row r="2726" customFormat="1" spans="7:8">
      <c r="G2726" s="5"/>
      <c r="H2726" s="5"/>
    </row>
    <row r="2727" customFormat="1" spans="7:8">
      <c r="G2727" s="5"/>
      <c r="H2727" s="5"/>
    </row>
    <row r="2728" customFormat="1" spans="7:8">
      <c r="G2728" s="5"/>
      <c r="H2728" s="5"/>
    </row>
    <row r="2729" customFormat="1" spans="7:8">
      <c r="G2729" s="5"/>
      <c r="H2729" s="5"/>
    </row>
    <row r="2730" customFormat="1" spans="7:8">
      <c r="G2730" s="5"/>
      <c r="H2730" s="5"/>
    </row>
    <row r="2731" customFormat="1" spans="7:8">
      <c r="G2731" s="5"/>
      <c r="H2731" s="5"/>
    </row>
    <row r="2732" customFormat="1" spans="7:8">
      <c r="G2732" s="5"/>
      <c r="H2732" s="5"/>
    </row>
    <row r="2733" customFormat="1" spans="7:8">
      <c r="G2733" s="5"/>
      <c r="H2733" s="5"/>
    </row>
    <row r="2734" customFormat="1" spans="7:8">
      <c r="G2734" s="5"/>
      <c r="H2734" s="5"/>
    </row>
    <row r="2735" customFormat="1" spans="7:8">
      <c r="G2735" s="5"/>
      <c r="H2735" s="5"/>
    </row>
    <row r="2736" customFormat="1" spans="7:8">
      <c r="G2736" s="5"/>
      <c r="H2736" s="5"/>
    </row>
    <row r="2737" customFormat="1" spans="7:8">
      <c r="G2737" s="5"/>
      <c r="H2737" s="5"/>
    </row>
    <row r="2738" customFormat="1" spans="7:8">
      <c r="G2738" s="5"/>
      <c r="H2738" s="5"/>
    </row>
    <row r="2739" customFormat="1" spans="7:8">
      <c r="G2739" s="5"/>
      <c r="H2739" s="5"/>
    </row>
    <row r="2740" customFormat="1" spans="7:8">
      <c r="G2740" s="5"/>
      <c r="H2740" s="5"/>
    </row>
    <row r="2741" customFormat="1" spans="7:8">
      <c r="G2741" s="5"/>
      <c r="H2741" s="5"/>
    </row>
    <row r="2742" customFormat="1" spans="7:8">
      <c r="G2742" s="5"/>
      <c r="H2742" s="5"/>
    </row>
    <row r="2743" customFormat="1" spans="7:8">
      <c r="G2743" s="5"/>
      <c r="H2743" s="5"/>
    </row>
    <row r="2744" customFormat="1" spans="7:8">
      <c r="G2744" s="5"/>
      <c r="H2744" s="5"/>
    </row>
    <row r="2745" customFormat="1" spans="7:8">
      <c r="G2745" s="5"/>
      <c r="H2745" s="5"/>
    </row>
    <row r="2746" customFormat="1" spans="7:8">
      <c r="G2746" s="5"/>
      <c r="H2746" s="5"/>
    </row>
    <row r="2747" customFormat="1" spans="7:8">
      <c r="G2747" s="5"/>
      <c r="H2747" s="5"/>
    </row>
    <row r="2748" customFormat="1" spans="7:8">
      <c r="G2748" s="5"/>
      <c r="H2748" s="5"/>
    </row>
    <row r="2749" customFormat="1" spans="7:8">
      <c r="G2749" s="5"/>
      <c r="H2749" s="5"/>
    </row>
    <row r="2750" customFormat="1" spans="7:8">
      <c r="G2750" s="5"/>
      <c r="H2750" s="5"/>
    </row>
    <row r="2751" customFormat="1" spans="7:8">
      <c r="G2751" s="5"/>
      <c r="H2751" s="5"/>
    </row>
    <row r="2752" customFormat="1" spans="7:8">
      <c r="G2752" s="5"/>
      <c r="H2752" s="5"/>
    </row>
    <row r="2753" customFormat="1" spans="7:8">
      <c r="G2753" s="5"/>
      <c r="H2753" s="5"/>
    </row>
    <row r="2754" customFormat="1" spans="7:8">
      <c r="G2754" s="5"/>
      <c r="H2754" s="5"/>
    </row>
    <row r="2755" customFormat="1" spans="7:8">
      <c r="G2755" s="5"/>
      <c r="H2755" s="5"/>
    </row>
    <row r="2756" customFormat="1" spans="7:8">
      <c r="G2756" s="5"/>
      <c r="H2756" s="5"/>
    </row>
    <row r="2757" customFormat="1" spans="7:8">
      <c r="G2757" s="5"/>
      <c r="H2757" s="5"/>
    </row>
    <row r="2758" customFormat="1" spans="7:8">
      <c r="G2758" s="5"/>
      <c r="H2758" s="5"/>
    </row>
    <row r="2759" customFormat="1" spans="7:8">
      <c r="G2759" s="5"/>
      <c r="H2759" s="5"/>
    </row>
    <row r="2760" customFormat="1" spans="7:8">
      <c r="G2760" s="5"/>
      <c r="H2760" s="5"/>
    </row>
    <row r="2761" customFormat="1" spans="7:8">
      <c r="G2761" s="5"/>
      <c r="H2761" s="5"/>
    </row>
    <row r="2762" customFormat="1" spans="7:8">
      <c r="G2762" s="5"/>
      <c r="H2762" s="5"/>
    </row>
    <row r="2763" customFormat="1" spans="7:8">
      <c r="G2763" s="5"/>
      <c r="H2763" s="5"/>
    </row>
    <row r="2764" customFormat="1" spans="7:8">
      <c r="G2764" s="5"/>
      <c r="H2764" s="5"/>
    </row>
    <row r="2765" customFormat="1" spans="7:8">
      <c r="G2765" s="5"/>
      <c r="H2765" s="5"/>
    </row>
    <row r="2766" customFormat="1" spans="7:8">
      <c r="G2766" s="5"/>
      <c r="H2766" s="5"/>
    </row>
    <row r="2767" customFormat="1" spans="7:8">
      <c r="G2767" s="5"/>
      <c r="H2767" s="5"/>
    </row>
    <row r="2768" customFormat="1" spans="7:8">
      <c r="G2768" s="5"/>
      <c r="H2768" s="5"/>
    </row>
    <row r="2769" customFormat="1" spans="7:8">
      <c r="G2769" s="5"/>
      <c r="H2769" s="5"/>
    </row>
    <row r="2770" customFormat="1" spans="7:8">
      <c r="G2770" s="5"/>
      <c r="H2770" s="5"/>
    </row>
    <row r="2771" customFormat="1" spans="7:8">
      <c r="G2771" s="5"/>
      <c r="H2771" s="5"/>
    </row>
    <row r="2772" customFormat="1" spans="7:8">
      <c r="G2772" s="5"/>
      <c r="H2772" s="5"/>
    </row>
    <row r="2773" customFormat="1" spans="7:8">
      <c r="G2773" s="5"/>
      <c r="H2773" s="5"/>
    </row>
    <row r="2774" customFormat="1" spans="7:8">
      <c r="G2774" s="5"/>
      <c r="H2774" s="5"/>
    </row>
    <row r="2775" customFormat="1" spans="7:8">
      <c r="G2775" s="5"/>
      <c r="H2775" s="5"/>
    </row>
    <row r="2776" customFormat="1" spans="7:8">
      <c r="G2776" s="5"/>
      <c r="H2776" s="5"/>
    </row>
    <row r="2777" customFormat="1" spans="7:8">
      <c r="G2777" s="5"/>
      <c r="H2777" s="5"/>
    </row>
    <row r="2778" customFormat="1" spans="7:8">
      <c r="G2778" s="5"/>
      <c r="H2778" s="5"/>
    </row>
    <row r="2779" customFormat="1" spans="7:8">
      <c r="G2779" s="5"/>
      <c r="H2779" s="5"/>
    </row>
    <row r="2780" customFormat="1" spans="7:8">
      <c r="G2780" s="5"/>
      <c r="H2780" s="5"/>
    </row>
    <row r="2781" customFormat="1" spans="7:8">
      <c r="G2781" s="5"/>
      <c r="H2781" s="5"/>
    </row>
    <row r="2782" customFormat="1" spans="7:8">
      <c r="G2782" s="5"/>
      <c r="H2782" s="5"/>
    </row>
    <row r="2783" customFormat="1" spans="7:8">
      <c r="G2783" s="5"/>
      <c r="H2783" s="5"/>
    </row>
    <row r="2784" customFormat="1" spans="7:8">
      <c r="G2784" s="5"/>
      <c r="H2784" s="5"/>
    </row>
    <row r="2785" customFormat="1" spans="7:8">
      <c r="G2785" s="5"/>
      <c r="H2785" s="5"/>
    </row>
    <row r="2786" customFormat="1" spans="7:8">
      <c r="G2786" s="5"/>
      <c r="H2786" s="5"/>
    </row>
    <row r="2787" customFormat="1" spans="7:8">
      <c r="G2787" s="5"/>
      <c r="H2787" s="5"/>
    </row>
    <row r="2788" customFormat="1" spans="7:8">
      <c r="G2788" s="5"/>
      <c r="H2788" s="5"/>
    </row>
    <row r="2789" customFormat="1" spans="7:8">
      <c r="G2789" s="5"/>
      <c r="H2789" s="5"/>
    </row>
    <row r="2790" customFormat="1" spans="7:8">
      <c r="G2790" s="5"/>
      <c r="H2790" s="5"/>
    </row>
    <row r="2791" customFormat="1" spans="7:8">
      <c r="G2791" s="5"/>
      <c r="H2791" s="5"/>
    </row>
    <row r="2792" customFormat="1" spans="7:8">
      <c r="G2792" s="5"/>
      <c r="H2792" s="5"/>
    </row>
    <row r="2793" customFormat="1" spans="7:8">
      <c r="G2793" s="5"/>
      <c r="H2793" s="5"/>
    </row>
    <row r="2794" customFormat="1" spans="7:8">
      <c r="G2794" s="5"/>
      <c r="H2794" s="5"/>
    </row>
    <row r="2795" customFormat="1" spans="7:8">
      <c r="G2795" s="5"/>
      <c r="H2795" s="5"/>
    </row>
    <row r="2796" customFormat="1" spans="7:8">
      <c r="G2796" s="5"/>
      <c r="H2796" s="5"/>
    </row>
    <row r="2797" customFormat="1" spans="7:8">
      <c r="G2797" s="5"/>
      <c r="H2797" s="5"/>
    </row>
    <row r="2798" customFormat="1" spans="7:8">
      <c r="G2798" s="5"/>
      <c r="H2798" s="5"/>
    </row>
    <row r="2799" customFormat="1" spans="7:8">
      <c r="G2799" s="5"/>
      <c r="H2799" s="5"/>
    </row>
    <row r="2800" customFormat="1" spans="7:8">
      <c r="G2800" s="5"/>
      <c r="H2800" s="5"/>
    </row>
    <row r="2801" customFormat="1" spans="7:8">
      <c r="G2801" s="5"/>
      <c r="H2801" s="5"/>
    </row>
    <row r="2802" customFormat="1" spans="7:8">
      <c r="G2802" s="5"/>
      <c r="H2802" s="5"/>
    </row>
    <row r="2803" customFormat="1" spans="7:8">
      <c r="G2803" s="5"/>
      <c r="H2803" s="5"/>
    </row>
    <row r="2804" customFormat="1" spans="7:8">
      <c r="G2804" s="5"/>
      <c r="H2804" s="5"/>
    </row>
    <row r="2805" customFormat="1" spans="7:8">
      <c r="G2805" s="5"/>
      <c r="H2805" s="5"/>
    </row>
    <row r="2806" customFormat="1" spans="7:8">
      <c r="G2806" s="5"/>
      <c r="H2806" s="5"/>
    </row>
    <row r="2807" customFormat="1" spans="7:8">
      <c r="G2807" s="5"/>
      <c r="H2807" s="5"/>
    </row>
    <row r="2808" customFormat="1" spans="7:8">
      <c r="G2808" s="5"/>
      <c r="H2808" s="5"/>
    </row>
    <row r="2809" customFormat="1" spans="7:8">
      <c r="G2809" s="5"/>
      <c r="H2809" s="5"/>
    </row>
    <row r="2810" customFormat="1" spans="7:8">
      <c r="G2810" s="5"/>
      <c r="H2810" s="5"/>
    </row>
    <row r="2811" customFormat="1" spans="7:8">
      <c r="G2811" s="5"/>
      <c r="H2811" s="5"/>
    </row>
    <row r="2812" customFormat="1" spans="7:8">
      <c r="G2812" s="5"/>
      <c r="H2812" s="5"/>
    </row>
    <row r="2813" customFormat="1" spans="7:8">
      <c r="G2813" s="5"/>
      <c r="H2813" s="5"/>
    </row>
    <row r="2814" customFormat="1" spans="7:8">
      <c r="G2814" s="5"/>
      <c r="H2814" s="5"/>
    </row>
    <row r="2815" customFormat="1" spans="7:8">
      <c r="G2815" s="5"/>
      <c r="H2815" s="5"/>
    </row>
    <row r="2816" customFormat="1" spans="7:8">
      <c r="G2816" s="5"/>
      <c r="H2816" s="5"/>
    </row>
    <row r="2817" customFormat="1" spans="7:8">
      <c r="G2817" s="5"/>
      <c r="H2817" s="5"/>
    </row>
    <row r="2818" customFormat="1" spans="7:8">
      <c r="G2818" s="5"/>
      <c r="H2818" s="5"/>
    </row>
    <row r="2819" customFormat="1" spans="7:8">
      <c r="G2819" s="5"/>
      <c r="H2819" s="5"/>
    </row>
    <row r="2820" customFormat="1" spans="7:8">
      <c r="G2820" s="5"/>
      <c r="H2820" s="5"/>
    </row>
    <row r="2821" customFormat="1" spans="7:8">
      <c r="G2821" s="5"/>
      <c r="H2821" s="5"/>
    </row>
    <row r="2822" customFormat="1" spans="7:8">
      <c r="G2822" s="5"/>
      <c r="H2822" s="5"/>
    </row>
    <row r="2823" customFormat="1" spans="7:8">
      <c r="G2823" s="5"/>
      <c r="H2823" s="5"/>
    </row>
    <row r="2824" customFormat="1" spans="7:8">
      <c r="G2824" s="5"/>
      <c r="H2824" s="5"/>
    </row>
    <row r="2825" customFormat="1" spans="7:8">
      <c r="G2825" s="5"/>
      <c r="H2825" s="5"/>
    </row>
    <row r="2826" customFormat="1" spans="7:8">
      <c r="G2826" s="5"/>
      <c r="H2826" s="5"/>
    </row>
    <row r="2827" customFormat="1" spans="7:8">
      <c r="G2827" s="5"/>
      <c r="H2827" s="5"/>
    </row>
    <row r="2828" customFormat="1" spans="7:8">
      <c r="G2828" s="5"/>
      <c r="H2828" s="5"/>
    </row>
    <row r="2829" customFormat="1" spans="7:8">
      <c r="G2829" s="5"/>
      <c r="H2829" s="5"/>
    </row>
    <row r="2830" customFormat="1" spans="7:8">
      <c r="G2830" s="5"/>
      <c r="H2830" s="5"/>
    </row>
    <row r="2831" customFormat="1" spans="7:8">
      <c r="G2831" s="5"/>
      <c r="H2831" s="5"/>
    </row>
    <row r="2832" customFormat="1" spans="7:8">
      <c r="G2832" s="5"/>
      <c r="H2832" s="5"/>
    </row>
    <row r="2833" customFormat="1" spans="7:8">
      <c r="G2833" s="5"/>
      <c r="H2833" s="5"/>
    </row>
    <row r="2834" customFormat="1" spans="7:8">
      <c r="G2834" s="5"/>
      <c r="H2834" s="5"/>
    </row>
    <row r="2835" customFormat="1" spans="7:8">
      <c r="G2835" s="5"/>
      <c r="H2835" s="5"/>
    </row>
    <row r="2836" customFormat="1" spans="7:8">
      <c r="G2836" s="5"/>
      <c r="H2836" s="5"/>
    </row>
    <row r="2837" customFormat="1" spans="7:8">
      <c r="G2837" s="5"/>
      <c r="H2837" s="5"/>
    </row>
    <row r="2838" customFormat="1" spans="7:8">
      <c r="G2838" s="5"/>
      <c r="H2838" s="5"/>
    </row>
    <row r="2839" customFormat="1" spans="7:8">
      <c r="G2839" s="5"/>
      <c r="H2839" s="5"/>
    </row>
    <row r="2840" customFormat="1" spans="7:8">
      <c r="G2840" s="5"/>
      <c r="H2840" s="5"/>
    </row>
    <row r="2841" customFormat="1" spans="7:8">
      <c r="G2841" s="5"/>
      <c r="H2841" s="5"/>
    </row>
    <row r="2842" customFormat="1" spans="7:8">
      <c r="G2842" s="5"/>
      <c r="H2842" s="5"/>
    </row>
    <row r="2843" customFormat="1" spans="7:8">
      <c r="G2843" s="5"/>
      <c r="H2843" s="5"/>
    </row>
    <row r="2844" customFormat="1" spans="7:8">
      <c r="G2844" s="5"/>
      <c r="H2844" s="5"/>
    </row>
    <row r="2845" customFormat="1" spans="7:8">
      <c r="G2845" s="5"/>
      <c r="H2845" s="5"/>
    </row>
    <row r="2846" customFormat="1" spans="7:8">
      <c r="G2846" s="5"/>
      <c r="H2846" s="5"/>
    </row>
    <row r="2847" customFormat="1" spans="7:8">
      <c r="G2847" s="5"/>
      <c r="H2847" s="5"/>
    </row>
    <row r="2848" customFormat="1" spans="7:8">
      <c r="G2848" s="5"/>
      <c r="H2848" s="5"/>
    </row>
    <row r="2849" customFormat="1" spans="7:8">
      <c r="G2849" s="5"/>
      <c r="H2849" s="5"/>
    </row>
    <row r="2850" customFormat="1" spans="7:8">
      <c r="G2850" s="5"/>
      <c r="H2850" s="5"/>
    </row>
    <row r="2851" customFormat="1" spans="7:8">
      <c r="G2851" s="5"/>
      <c r="H2851" s="5"/>
    </row>
    <row r="2852" customFormat="1" spans="7:8">
      <c r="G2852" s="5"/>
      <c r="H2852" s="5"/>
    </row>
    <row r="2853" customFormat="1" spans="7:8">
      <c r="G2853" s="5"/>
      <c r="H2853" s="5"/>
    </row>
    <row r="2854" customFormat="1" spans="7:8">
      <c r="G2854" s="5"/>
      <c r="H2854" s="5"/>
    </row>
    <row r="2855" customFormat="1" spans="7:8">
      <c r="G2855" s="5"/>
      <c r="H2855" s="5"/>
    </row>
    <row r="2856" customFormat="1" spans="7:8">
      <c r="G2856" s="5"/>
      <c r="H2856" s="5"/>
    </row>
    <row r="2857" customFormat="1" spans="7:8">
      <c r="G2857" s="5"/>
      <c r="H2857" s="5"/>
    </row>
    <row r="2858" customFormat="1" spans="7:8">
      <c r="G2858" s="5"/>
      <c r="H2858" s="5"/>
    </row>
    <row r="2859" customFormat="1" spans="7:8">
      <c r="G2859" s="5"/>
      <c r="H2859" s="5"/>
    </row>
    <row r="2860" customFormat="1" spans="7:8">
      <c r="G2860" s="5"/>
      <c r="H2860" s="5"/>
    </row>
    <row r="2861" customFormat="1" spans="7:8">
      <c r="G2861" s="5"/>
      <c r="H2861" s="5"/>
    </row>
    <row r="2862" customFormat="1" spans="7:8">
      <c r="G2862" s="5"/>
      <c r="H2862" s="5"/>
    </row>
    <row r="2863" customFormat="1" spans="7:8">
      <c r="G2863" s="5"/>
      <c r="H2863" s="5"/>
    </row>
    <row r="2864" customFormat="1" spans="7:8">
      <c r="G2864" s="5"/>
      <c r="H2864" s="5"/>
    </row>
    <row r="2865" customFormat="1" spans="7:8">
      <c r="G2865" s="5"/>
      <c r="H2865" s="5"/>
    </row>
    <row r="2866" customFormat="1" spans="7:8">
      <c r="G2866" s="5"/>
      <c r="H2866" s="5"/>
    </row>
    <row r="2867" customFormat="1" spans="7:8">
      <c r="G2867" s="5"/>
      <c r="H2867" s="5"/>
    </row>
    <row r="2868" customFormat="1" spans="7:8">
      <c r="G2868" s="5"/>
      <c r="H2868" s="5"/>
    </row>
    <row r="2869" customFormat="1" spans="7:8">
      <c r="G2869" s="5"/>
      <c r="H2869" s="5"/>
    </row>
    <row r="2870" customFormat="1" spans="7:8">
      <c r="G2870" s="5"/>
      <c r="H2870" s="5"/>
    </row>
    <row r="2871" customFormat="1" spans="7:8">
      <c r="G2871" s="5"/>
      <c r="H2871" s="5"/>
    </row>
    <row r="2872" customFormat="1" spans="7:8">
      <c r="G2872" s="5"/>
      <c r="H2872" s="5"/>
    </row>
    <row r="2873" customFormat="1" spans="7:8">
      <c r="G2873" s="5"/>
      <c r="H2873" s="5"/>
    </row>
    <row r="2874" customFormat="1" spans="7:8">
      <c r="G2874" s="5"/>
      <c r="H2874" s="5"/>
    </row>
    <row r="2875" customFormat="1" spans="7:8">
      <c r="G2875" s="5"/>
      <c r="H2875" s="5"/>
    </row>
    <row r="2876" customFormat="1" spans="7:8">
      <c r="G2876" s="5"/>
      <c r="H2876" s="5"/>
    </row>
    <row r="2877" customFormat="1" spans="7:8">
      <c r="G2877" s="5"/>
      <c r="H2877" s="5"/>
    </row>
    <row r="2878" customFormat="1" spans="7:8">
      <c r="G2878" s="5"/>
      <c r="H2878" s="5"/>
    </row>
    <row r="2879" customFormat="1" spans="7:8">
      <c r="G2879" s="5"/>
      <c r="H2879" s="5"/>
    </row>
    <row r="2880" customFormat="1" spans="7:8">
      <c r="G2880" s="5"/>
      <c r="H2880" s="5"/>
    </row>
    <row r="2881" customFormat="1" spans="7:8">
      <c r="G2881" s="5"/>
      <c r="H2881" s="5"/>
    </row>
    <row r="2882" customFormat="1" spans="7:8">
      <c r="G2882" s="5"/>
      <c r="H2882" s="5"/>
    </row>
    <row r="2883" customFormat="1" spans="7:8">
      <c r="G2883" s="5"/>
      <c r="H2883" s="5"/>
    </row>
    <row r="2884" customFormat="1" spans="7:8">
      <c r="G2884" s="5"/>
      <c r="H2884" s="5"/>
    </row>
    <row r="2885" customFormat="1" spans="7:8">
      <c r="G2885" s="5"/>
      <c r="H2885" s="5"/>
    </row>
    <row r="2886" customFormat="1" spans="7:8">
      <c r="G2886" s="5"/>
      <c r="H2886" s="5"/>
    </row>
    <row r="2887" customFormat="1" spans="7:8">
      <c r="G2887" s="5"/>
      <c r="H2887" s="5"/>
    </row>
    <row r="2888" customFormat="1" spans="7:8">
      <c r="G2888" s="5"/>
      <c r="H2888" s="5"/>
    </row>
    <row r="2889" customFormat="1" spans="7:8">
      <c r="G2889" s="5"/>
      <c r="H2889" s="5"/>
    </row>
    <row r="2890" customFormat="1" spans="7:8">
      <c r="G2890" s="5"/>
      <c r="H2890" s="5"/>
    </row>
    <row r="2891" customFormat="1" spans="7:8">
      <c r="G2891" s="5"/>
      <c r="H2891" s="5"/>
    </row>
    <row r="2892" customFormat="1" spans="7:8">
      <c r="G2892" s="5"/>
      <c r="H2892" s="5"/>
    </row>
    <row r="2893" customFormat="1" spans="7:8">
      <c r="G2893" s="5"/>
      <c r="H2893" s="5"/>
    </row>
    <row r="2894" customFormat="1" spans="7:8">
      <c r="G2894" s="5"/>
      <c r="H2894" s="5"/>
    </row>
    <row r="2895" customFormat="1" spans="7:8">
      <c r="G2895" s="5"/>
      <c r="H2895" s="5"/>
    </row>
    <row r="2896" customFormat="1" spans="7:8">
      <c r="G2896" s="5"/>
      <c r="H2896" s="5"/>
    </row>
    <row r="2897" customFormat="1" spans="7:8">
      <c r="G2897" s="5"/>
      <c r="H2897" s="5"/>
    </row>
    <row r="2898" customFormat="1" spans="7:8">
      <c r="G2898" s="5"/>
      <c r="H2898" s="5"/>
    </row>
    <row r="2899" customFormat="1" spans="7:8">
      <c r="G2899" s="5"/>
      <c r="H2899" s="5"/>
    </row>
    <row r="2900" customFormat="1" spans="7:8">
      <c r="G2900" s="5"/>
      <c r="H2900" s="5"/>
    </row>
    <row r="2901" customFormat="1" spans="7:8">
      <c r="G2901" s="5"/>
      <c r="H2901" s="5"/>
    </row>
    <row r="2902" customFormat="1" spans="7:8">
      <c r="G2902" s="5"/>
      <c r="H2902" s="5"/>
    </row>
    <row r="2903" customFormat="1" spans="7:8">
      <c r="G2903" s="5"/>
      <c r="H2903" s="5"/>
    </row>
    <row r="2904" customFormat="1" spans="7:8">
      <c r="G2904" s="5"/>
      <c r="H2904" s="5"/>
    </row>
    <row r="2905" customFormat="1" spans="7:8">
      <c r="G2905" s="5"/>
      <c r="H2905" s="5"/>
    </row>
    <row r="2906" customFormat="1" spans="7:8">
      <c r="G2906" s="5"/>
      <c r="H2906" s="5"/>
    </row>
    <row r="2907" customFormat="1" spans="7:8">
      <c r="G2907" s="5"/>
      <c r="H2907" s="5"/>
    </row>
    <row r="2908" customFormat="1" spans="7:8">
      <c r="G2908" s="5"/>
      <c r="H2908" s="5"/>
    </row>
    <row r="2909" customFormat="1" spans="7:8">
      <c r="G2909" s="5"/>
      <c r="H2909" s="5"/>
    </row>
    <row r="2910" customFormat="1" spans="7:8">
      <c r="G2910" s="5"/>
      <c r="H2910" s="5"/>
    </row>
    <row r="2911" customFormat="1" spans="7:8">
      <c r="G2911" s="5"/>
      <c r="H2911" s="5"/>
    </row>
    <row r="2912" customFormat="1" spans="7:8">
      <c r="G2912" s="5"/>
      <c r="H2912" s="5"/>
    </row>
    <row r="2913" customFormat="1" spans="7:8">
      <c r="G2913" s="5"/>
      <c r="H2913" s="5"/>
    </row>
    <row r="2914" customFormat="1" spans="7:8">
      <c r="G2914" s="5"/>
      <c r="H2914" s="5"/>
    </row>
    <row r="2915" customFormat="1" spans="7:8">
      <c r="G2915" s="5"/>
      <c r="H2915" s="5"/>
    </row>
    <row r="2916" customFormat="1" spans="7:8">
      <c r="G2916" s="5"/>
      <c r="H2916" s="5"/>
    </row>
    <row r="2917" customFormat="1" spans="7:8">
      <c r="G2917" s="5"/>
      <c r="H2917" s="5"/>
    </row>
    <row r="2918" customFormat="1" spans="7:8">
      <c r="G2918" s="5"/>
      <c r="H2918" s="5"/>
    </row>
    <row r="2919" customFormat="1" spans="7:8">
      <c r="G2919" s="5"/>
      <c r="H2919" s="5"/>
    </row>
    <row r="2920" customFormat="1" spans="7:8">
      <c r="G2920" s="5"/>
      <c r="H2920" s="5"/>
    </row>
    <row r="2921" customFormat="1" spans="7:8">
      <c r="G2921" s="5"/>
      <c r="H2921" s="5"/>
    </row>
    <row r="2922" customFormat="1" spans="7:8">
      <c r="G2922" s="5"/>
      <c r="H2922" s="5"/>
    </row>
    <row r="2923" customFormat="1" spans="7:8">
      <c r="G2923" s="5"/>
      <c r="H2923" s="5"/>
    </row>
    <row r="2924" customFormat="1" spans="7:8">
      <c r="G2924" s="5"/>
      <c r="H2924" s="5"/>
    </row>
    <row r="2925" customFormat="1" spans="7:8">
      <c r="G2925" s="5"/>
      <c r="H2925" s="5"/>
    </row>
    <row r="2926" customFormat="1" spans="7:8">
      <c r="G2926" s="5"/>
      <c r="H2926" s="5"/>
    </row>
    <row r="2927" customFormat="1" spans="7:8">
      <c r="G2927" s="5"/>
      <c r="H2927" s="5"/>
    </row>
    <row r="2928" customFormat="1" spans="7:8">
      <c r="G2928" s="5"/>
      <c r="H2928" s="5"/>
    </row>
    <row r="2929" customFormat="1" spans="7:8">
      <c r="G2929" s="5"/>
      <c r="H2929" s="5"/>
    </row>
    <row r="2930" customFormat="1" spans="7:8">
      <c r="G2930" s="5"/>
      <c r="H2930" s="5"/>
    </row>
    <row r="2931" customFormat="1" spans="7:8">
      <c r="G2931" s="5"/>
      <c r="H2931" s="5"/>
    </row>
    <row r="2932" customFormat="1" spans="7:8">
      <c r="G2932" s="5"/>
      <c r="H2932" s="5"/>
    </row>
    <row r="2933" customFormat="1" spans="7:8">
      <c r="G2933" s="5"/>
      <c r="H2933" s="5"/>
    </row>
    <row r="2934" customFormat="1" spans="7:8">
      <c r="G2934" s="5"/>
      <c r="H2934" s="5"/>
    </row>
    <row r="2935" customFormat="1" spans="7:8">
      <c r="G2935" s="5"/>
      <c r="H2935" s="5"/>
    </row>
    <row r="2936" customFormat="1" spans="7:8">
      <c r="G2936" s="5"/>
      <c r="H2936" s="5"/>
    </row>
    <row r="2937" customFormat="1" spans="7:8">
      <c r="G2937" s="5"/>
      <c r="H2937" s="5"/>
    </row>
    <row r="2938" customFormat="1" spans="7:8">
      <c r="G2938" s="5"/>
      <c r="H2938" s="5"/>
    </row>
    <row r="2939" customFormat="1" spans="7:8">
      <c r="G2939" s="5"/>
      <c r="H2939" s="5"/>
    </row>
    <row r="2940" customFormat="1" spans="7:8">
      <c r="G2940" s="5"/>
      <c r="H2940" s="5"/>
    </row>
    <row r="2941" customFormat="1" spans="7:8">
      <c r="G2941" s="5"/>
      <c r="H2941" s="5"/>
    </row>
    <row r="2942" customFormat="1" spans="7:8">
      <c r="G2942" s="5"/>
      <c r="H2942" s="5"/>
    </row>
    <row r="2943" customFormat="1" spans="7:8">
      <c r="G2943" s="5"/>
      <c r="H2943" s="5"/>
    </row>
    <row r="2944" customFormat="1" spans="7:8">
      <c r="G2944" s="5"/>
      <c r="H2944" s="5"/>
    </row>
    <row r="2945" customFormat="1" spans="7:8">
      <c r="G2945" s="5"/>
      <c r="H2945" s="5"/>
    </row>
    <row r="2946" customFormat="1" spans="7:8">
      <c r="G2946" s="5"/>
      <c r="H2946" s="5"/>
    </row>
    <row r="2947" customFormat="1" spans="7:8">
      <c r="G2947" s="5"/>
      <c r="H2947" s="5"/>
    </row>
    <row r="2948" customFormat="1" spans="7:8">
      <c r="G2948" s="5"/>
      <c r="H2948" s="5"/>
    </row>
    <row r="2949" customFormat="1" spans="7:8">
      <c r="G2949" s="5"/>
      <c r="H2949" s="5"/>
    </row>
    <row r="2950" customFormat="1" spans="7:8">
      <c r="G2950" s="5"/>
      <c r="H2950" s="5"/>
    </row>
    <row r="2951" customFormat="1" spans="7:8">
      <c r="G2951" s="5"/>
      <c r="H2951" s="5"/>
    </row>
    <row r="2952" customFormat="1" spans="7:8">
      <c r="G2952" s="5"/>
      <c r="H2952" s="5"/>
    </row>
    <row r="2953" customFormat="1" spans="7:8">
      <c r="G2953" s="5"/>
      <c r="H2953" s="5"/>
    </row>
    <row r="2954" customFormat="1" spans="7:8">
      <c r="G2954" s="5"/>
      <c r="H2954" s="5"/>
    </row>
    <row r="2955" customFormat="1" spans="7:8">
      <c r="G2955" s="5"/>
      <c r="H2955" s="5"/>
    </row>
    <row r="2956" customFormat="1" spans="7:8">
      <c r="G2956" s="5"/>
      <c r="H2956" s="5"/>
    </row>
    <row r="2957" customFormat="1" spans="7:8">
      <c r="G2957" s="5"/>
      <c r="H2957" s="5"/>
    </row>
    <row r="2958" customFormat="1" spans="7:8">
      <c r="G2958" s="5"/>
      <c r="H2958" s="5"/>
    </row>
    <row r="2959" customFormat="1" spans="7:8">
      <c r="G2959" s="5"/>
      <c r="H2959" s="5"/>
    </row>
    <row r="2960" customFormat="1" spans="7:8">
      <c r="G2960" s="5"/>
      <c r="H2960" s="5"/>
    </row>
    <row r="2961" customFormat="1" spans="7:8">
      <c r="G2961" s="5"/>
      <c r="H2961" s="5"/>
    </row>
    <row r="2962" customFormat="1" spans="7:8">
      <c r="G2962" s="5"/>
      <c r="H2962" s="5"/>
    </row>
    <row r="2963" customFormat="1" spans="7:8">
      <c r="G2963" s="5"/>
      <c r="H2963" s="5"/>
    </row>
    <row r="2964" customFormat="1" spans="7:8">
      <c r="G2964" s="5"/>
      <c r="H2964" s="5"/>
    </row>
    <row r="2965" customFormat="1" spans="7:8">
      <c r="G2965" s="5"/>
      <c r="H2965" s="5"/>
    </row>
    <row r="2966" customFormat="1" spans="7:8">
      <c r="G2966" s="5"/>
      <c r="H2966" s="5"/>
    </row>
    <row r="2967" customFormat="1" spans="7:8">
      <c r="G2967" s="5"/>
      <c r="H2967" s="5"/>
    </row>
    <row r="2968" customFormat="1" spans="7:8">
      <c r="G2968" s="5"/>
      <c r="H2968" s="5"/>
    </row>
    <row r="2969" customFormat="1" spans="7:8">
      <c r="G2969" s="5"/>
      <c r="H2969" s="5"/>
    </row>
    <row r="2970" customFormat="1" spans="7:8">
      <c r="G2970" s="5"/>
      <c r="H2970" s="5"/>
    </row>
    <row r="2971" customFormat="1" spans="7:8">
      <c r="G2971" s="5"/>
      <c r="H2971" s="5"/>
    </row>
    <row r="2972" customFormat="1" spans="7:8">
      <c r="G2972" s="5"/>
      <c r="H2972" s="5"/>
    </row>
    <row r="2973" customFormat="1" spans="7:8">
      <c r="G2973" s="5"/>
      <c r="H2973" s="5"/>
    </row>
    <row r="2974" customFormat="1" spans="7:8">
      <c r="G2974" s="5"/>
      <c r="H2974" s="5"/>
    </row>
    <row r="2975" customFormat="1" spans="7:8">
      <c r="G2975" s="5"/>
      <c r="H2975" s="5"/>
    </row>
    <row r="2976" customFormat="1" spans="7:8">
      <c r="G2976" s="5"/>
      <c r="H2976" s="5"/>
    </row>
    <row r="2977" customFormat="1" spans="7:8">
      <c r="G2977" s="5"/>
      <c r="H2977" s="5"/>
    </row>
    <row r="2978" customFormat="1" spans="7:8">
      <c r="G2978" s="5"/>
      <c r="H2978" s="5"/>
    </row>
    <row r="2979" customFormat="1" spans="7:8">
      <c r="G2979" s="5"/>
      <c r="H2979" s="5"/>
    </row>
    <row r="2980" customFormat="1" spans="7:8">
      <c r="G2980" s="5"/>
      <c r="H2980" s="5"/>
    </row>
    <row r="2981" customFormat="1" spans="7:8">
      <c r="G2981" s="5"/>
      <c r="H2981" s="5"/>
    </row>
    <row r="2982" customFormat="1" spans="7:8">
      <c r="G2982" s="5"/>
      <c r="H2982" s="5"/>
    </row>
    <row r="2983" customFormat="1" spans="7:8">
      <c r="G2983" s="5"/>
      <c r="H2983" s="5"/>
    </row>
    <row r="2984" customFormat="1" spans="7:8">
      <c r="G2984" s="5"/>
      <c r="H2984" s="5"/>
    </row>
    <row r="2985" customFormat="1" spans="7:8">
      <c r="G2985" s="5"/>
      <c r="H2985" s="5"/>
    </row>
    <row r="2986" customFormat="1" spans="7:8">
      <c r="G2986" s="5"/>
      <c r="H2986" s="5"/>
    </row>
    <row r="2987" customFormat="1" spans="7:8">
      <c r="G2987" s="5"/>
      <c r="H2987" s="5"/>
    </row>
    <row r="2988" customFormat="1" spans="7:8">
      <c r="G2988" s="5"/>
      <c r="H2988" s="5"/>
    </row>
    <row r="2989" customFormat="1" spans="7:8">
      <c r="G2989" s="5"/>
      <c r="H2989" s="5"/>
    </row>
    <row r="2990" customFormat="1" spans="7:8">
      <c r="G2990" s="5"/>
      <c r="H2990" s="5"/>
    </row>
    <row r="2991" customFormat="1" spans="7:8">
      <c r="G2991" s="5"/>
      <c r="H2991" s="5"/>
    </row>
    <row r="2992" customFormat="1" spans="7:8">
      <c r="G2992" s="5"/>
      <c r="H2992" s="5"/>
    </row>
    <row r="2993" customFormat="1" spans="7:8">
      <c r="G2993" s="5"/>
      <c r="H2993" s="5"/>
    </row>
    <row r="2994" customFormat="1" spans="7:8">
      <c r="G2994" s="5"/>
      <c r="H2994" s="5"/>
    </row>
    <row r="2995" customFormat="1" spans="7:8">
      <c r="G2995" s="5"/>
      <c r="H2995" s="5"/>
    </row>
    <row r="2996" customFormat="1" spans="7:8">
      <c r="G2996" s="5"/>
      <c r="H2996" s="5"/>
    </row>
    <row r="2997" customFormat="1" spans="7:8">
      <c r="G2997" s="5"/>
      <c r="H2997" s="5"/>
    </row>
    <row r="2998" customFormat="1" spans="7:8">
      <c r="G2998" s="5"/>
      <c r="H2998" s="5"/>
    </row>
    <row r="2999" customFormat="1" spans="7:8">
      <c r="G2999" s="5"/>
      <c r="H2999" s="5"/>
    </row>
    <row r="3000" customFormat="1" spans="7:8">
      <c r="G3000" s="5"/>
      <c r="H3000" s="5"/>
    </row>
    <row r="3001" customFormat="1" spans="7:8">
      <c r="G3001" s="5"/>
      <c r="H3001" s="5"/>
    </row>
    <row r="3002" customFormat="1" spans="7:8">
      <c r="G3002" s="5"/>
      <c r="H3002" s="5"/>
    </row>
    <row r="3003" customFormat="1" spans="7:8">
      <c r="G3003" s="5"/>
      <c r="H3003" s="5"/>
    </row>
    <row r="3004" customFormat="1" spans="7:8">
      <c r="G3004" s="5"/>
      <c r="H3004" s="5"/>
    </row>
    <row r="3005" customFormat="1" spans="7:8">
      <c r="G3005" s="5"/>
      <c r="H3005" s="5"/>
    </row>
    <row r="3006" customFormat="1" spans="7:8">
      <c r="G3006" s="5"/>
      <c r="H3006" s="5"/>
    </row>
    <row r="3007" customFormat="1" spans="7:8">
      <c r="G3007" s="5"/>
      <c r="H3007" s="5"/>
    </row>
    <row r="3008" customFormat="1" spans="7:8">
      <c r="G3008" s="5"/>
      <c r="H3008" s="5"/>
    </row>
    <row r="3009" customFormat="1" spans="7:8">
      <c r="G3009" s="5"/>
      <c r="H3009" s="5"/>
    </row>
    <row r="3010" customFormat="1" spans="7:8">
      <c r="G3010" s="5"/>
      <c r="H3010" s="5"/>
    </row>
    <row r="3011" customFormat="1" spans="7:8">
      <c r="G3011" s="5"/>
      <c r="H3011" s="5"/>
    </row>
    <row r="3012" customFormat="1" spans="7:8">
      <c r="G3012" s="5"/>
      <c r="H3012" s="5"/>
    </row>
    <row r="3013" customFormat="1" spans="7:8">
      <c r="G3013" s="5"/>
      <c r="H3013" s="5"/>
    </row>
    <row r="3014" customFormat="1" spans="7:8">
      <c r="G3014" s="5"/>
      <c r="H3014" s="5"/>
    </row>
    <row r="3015" customFormat="1" spans="7:8">
      <c r="G3015" s="5"/>
      <c r="H3015" s="5"/>
    </row>
    <row r="3016" customFormat="1" spans="7:8">
      <c r="G3016" s="5"/>
      <c r="H3016" s="5"/>
    </row>
    <row r="3017" customFormat="1" spans="7:8">
      <c r="G3017" s="5"/>
      <c r="H3017" s="5"/>
    </row>
    <row r="3018" customFormat="1" spans="7:8">
      <c r="G3018" s="5"/>
      <c r="H3018" s="5"/>
    </row>
    <row r="3019" customFormat="1" spans="7:8">
      <c r="G3019" s="5"/>
      <c r="H3019" s="5"/>
    </row>
    <row r="3020" customFormat="1" spans="7:8">
      <c r="G3020" s="5"/>
      <c r="H3020" s="5"/>
    </row>
    <row r="3021" customFormat="1" spans="7:8">
      <c r="G3021" s="5"/>
      <c r="H3021" s="5"/>
    </row>
    <row r="3022" customFormat="1" spans="7:8">
      <c r="G3022" s="5"/>
      <c r="H3022" s="5"/>
    </row>
    <row r="3023" customFormat="1" spans="7:8">
      <c r="G3023" s="5"/>
      <c r="H3023" s="5"/>
    </row>
    <row r="3024" customFormat="1" spans="7:8">
      <c r="G3024" s="5"/>
      <c r="H3024" s="5"/>
    </row>
    <row r="3025" customFormat="1" spans="7:8">
      <c r="G3025" s="5"/>
      <c r="H3025" s="5"/>
    </row>
    <row r="3026" customFormat="1" spans="7:8">
      <c r="G3026" s="5"/>
      <c r="H3026" s="5"/>
    </row>
    <row r="3027" customFormat="1" spans="7:8">
      <c r="G3027" s="5"/>
      <c r="H3027" s="5"/>
    </row>
    <row r="3028" customFormat="1" spans="7:8">
      <c r="G3028" s="5"/>
      <c r="H3028" s="5"/>
    </row>
    <row r="3029" customFormat="1" spans="7:8">
      <c r="G3029" s="5"/>
      <c r="H3029" s="5"/>
    </row>
    <row r="3030" customFormat="1" spans="7:8">
      <c r="G3030" s="5"/>
      <c r="H3030" s="5"/>
    </row>
    <row r="3031" customFormat="1" spans="7:8">
      <c r="G3031" s="5"/>
      <c r="H3031" s="5"/>
    </row>
    <row r="3032" customFormat="1" spans="7:8">
      <c r="G3032" s="5"/>
      <c r="H3032" s="5"/>
    </row>
    <row r="3033" customFormat="1" spans="7:8">
      <c r="G3033" s="5"/>
      <c r="H3033" s="5"/>
    </row>
    <row r="3034" customFormat="1" spans="7:8">
      <c r="G3034" s="5"/>
      <c r="H3034" s="5"/>
    </row>
    <row r="3035" customFormat="1" spans="7:8">
      <c r="G3035" s="5"/>
      <c r="H3035" s="5"/>
    </row>
    <row r="3036" customFormat="1" spans="7:8">
      <c r="G3036" s="5"/>
      <c r="H3036" s="5"/>
    </row>
    <row r="3037" customFormat="1" spans="7:8">
      <c r="G3037" s="5"/>
      <c r="H3037" s="5"/>
    </row>
    <row r="3038" customFormat="1" spans="7:8">
      <c r="G3038" s="5"/>
      <c r="H3038" s="5"/>
    </row>
    <row r="3039" customFormat="1" spans="7:8">
      <c r="G3039" s="5"/>
      <c r="H3039" s="5"/>
    </row>
    <row r="3040" customFormat="1" spans="7:8">
      <c r="G3040" s="5"/>
      <c r="H3040" s="5"/>
    </row>
    <row r="3041" customFormat="1" spans="7:8">
      <c r="G3041" s="5"/>
      <c r="H3041" s="5"/>
    </row>
    <row r="3042" customFormat="1" spans="7:8">
      <c r="G3042" s="5"/>
      <c r="H3042" s="5"/>
    </row>
    <row r="3043" customFormat="1" spans="7:8">
      <c r="G3043" s="5"/>
      <c r="H3043" s="5"/>
    </row>
    <row r="3044" customFormat="1" spans="7:8">
      <c r="G3044" s="5"/>
      <c r="H3044" s="5"/>
    </row>
    <row r="3045" customFormat="1" spans="7:8">
      <c r="G3045" s="5"/>
      <c r="H3045" s="5"/>
    </row>
    <row r="3046" customFormat="1" spans="7:8">
      <c r="G3046" s="5"/>
      <c r="H3046" s="5"/>
    </row>
    <row r="3047" customFormat="1" spans="7:8">
      <c r="G3047" s="5"/>
      <c r="H3047" s="5"/>
    </row>
    <row r="3048" customFormat="1" spans="7:8">
      <c r="G3048" s="5"/>
      <c r="H3048" s="5"/>
    </row>
    <row r="3049" customFormat="1" spans="7:8">
      <c r="G3049" s="5"/>
      <c r="H3049" s="5"/>
    </row>
    <row r="3050" customFormat="1" spans="7:8">
      <c r="G3050" s="5"/>
      <c r="H3050" s="5"/>
    </row>
    <row r="3051" customFormat="1" spans="7:8">
      <c r="G3051" s="5"/>
      <c r="H3051" s="5"/>
    </row>
    <row r="3052" customFormat="1" spans="7:8">
      <c r="G3052" s="5"/>
      <c r="H3052" s="5"/>
    </row>
    <row r="3053" customFormat="1" spans="7:8">
      <c r="G3053" s="5"/>
      <c r="H3053" s="5"/>
    </row>
    <row r="3054" customFormat="1" spans="7:8">
      <c r="G3054" s="5"/>
      <c r="H3054" s="5"/>
    </row>
    <row r="3055" customFormat="1" spans="7:8">
      <c r="G3055" s="5"/>
      <c r="H3055" s="5"/>
    </row>
    <row r="3056" customFormat="1" spans="7:8">
      <c r="G3056" s="5"/>
      <c r="H3056" s="5"/>
    </row>
    <row r="3057" customFormat="1" spans="7:8">
      <c r="G3057" s="5"/>
      <c r="H3057" s="5"/>
    </row>
    <row r="3058" customFormat="1" spans="7:8">
      <c r="G3058" s="5"/>
      <c r="H3058" s="5"/>
    </row>
    <row r="3059" customFormat="1" spans="7:8">
      <c r="G3059" s="5"/>
      <c r="H3059" s="5"/>
    </row>
    <row r="3060" customFormat="1" spans="7:8">
      <c r="G3060" s="5"/>
      <c r="H3060" s="5"/>
    </row>
    <row r="3061" customFormat="1" spans="7:8">
      <c r="G3061" s="5"/>
      <c r="H3061" s="5"/>
    </row>
    <row r="3062" customFormat="1" spans="7:8">
      <c r="G3062" s="5"/>
      <c r="H3062" s="5"/>
    </row>
    <row r="3063" customFormat="1" spans="7:8">
      <c r="G3063" s="5"/>
      <c r="H3063" s="5"/>
    </row>
    <row r="3064" customFormat="1" spans="7:8">
      <c r="G3064" s="5"/>
      <c r="H3064" s="5"/>
    </row>
    <row r="3065" customFormat="1" spans="7:8">
      <c r="G3065" s="5"/>
      <c r="H3065" s="5"/>
    </row>
    <row r="3066" customFormat="1" spans="7:8">
      <c r="G3066" s="5"/>
      <c r="H3066" s="5"/>
    </row>
    <row r="3067" customFormat="1" spans="7:8">
      <c r="G3067" s="5"/>
      <c r="H3067" s="5"/>
    </row>
    <row r="3068" customFormat="1" spans="7:8">
      <c r="G3068" s="5"/>
      <c r="H3068" s="5"/>
    </row>
    <row r="3069" customFormat="1" spans="7:8">
      <c r="G3069" s="5"/>
      <c r="H3069" s="5"/>
    </row>
    <row r="3070" customFormat="1" spans="7:8">
      <c r="G3070" s="5"/>
      <c r="H3070" s="5"/>
    </row>
    <row r="3071" customFormat="1" spans="7:8">
      <c r="G3071" s="5"/>
      <c r="H3071" s="5"/>
    </row>
    <row r="3072" customFormat="1" spans="7:8">
      <c r="G3072" s="5"/>
      <c r="H3072" s="5"/>
    </row>
    <row r="3073" customFormat="1" spans="7:8">
      <c r="G3073" s="5"/>
      <c r="H3073" s="5"/>
    </row>
    <row r="3074" customFormat="1" spans="7:8">
      <c r="G3074" s="5"/>
      <c r="H3074" s="5"/>
    </row>
    <row r="3075" customFormat="1" spans="7:8">
      <c r="G3075" s="5"/>
      <c r="H3075" s="5"/>
    </row>
    <row r="3076" customFormat="1" spans="7:8">
      <c r="G3076" s="5"/>
      <c r="H3076" s="5"/>
    </row>
    <row r="3077" customFormat="1" spans="7:8">
      <c r="G3077" s="5"/>
      <c r="H3077" s="5"/>
    </row>
    <row r="3078" customFormat="1" spans="7:8">
      <c r="G3078" s="5"/>
      <c r="H3078" s="5"/>
    </row>
    <row r="3079" customFormat="1" spans="7:8">
      <c r="G3079" s="5"/>
      <c r="H3079" s="5"/>
    </row>
    <row r="3080" customFormat="1" spans="7:8">
      <c r="G3080" s="5"/>
      <c r="H3080" s="5"/>
    </row>
    <row r="3081" customFormat="1" spans="7:8">
      <c r="G3081" s="5"/>
      <c r="H3081" s="5"/>
    </row>
    <row r="3082" customFormat="1" spans="7:8">
      <c r="G3082" s="5"/>
      <c r="H3082" s="5"/>
    </row>
    <row r="3083" customFormat="1" spans="7:8">
      <c r="G3083" s="5"/>
      <c r="H3083" s="5"/>
    </row>
    <row r="3084" customFormat="1" spans="7:8">
      <c r="G3084" s="5"/>
      <c r="H3084" s="5"/>
    </row>
    <row r="3085" customFormat="1" spans="7:8">
      <c r="G3085" s="5"/>
      <c r="H3085" s="5"/>
    </row>
    <row r="3086" customFormat="1" spans="7:8">
      <c r="G3086" s="5"/>
      <c r="H3086" s="5"/>
    </row>
    <row r="3087" customFormat="1" spans="7:8">
      <c r="G3087" s="5"/>
      <c r="H3087" s="5"/>
    </row>
    <row r="3088" customFormat="1" spans="7:8">
      <c r="G3088" s="5"/>
      <c r="H3088" s="5"/>
    </row>
    <row r="3089" customFormat="1" spans="7:8">
      <c r="G3089" s="5"/>
      <c r="H3089" s="5"/>
    </row>
    <row r="3090" customFormat="1" spans="7:8">
      <c r="G3090" s="5"/>
      <c r="H3090" s="5"/>
    </row>
    <row r="3091" customFormat="1" spans="7:8">
      <c r="G3091" s="5"/>
      <c r="H3091" s="5"/>
    </row>
    <row r="3092" customFormat="1" spans="7:8">
      <c r="G3092" s="5"/>
      <c r="H3092" s="5"/>
    </row>
    <row r="3093" customFormat="1" spans="7:8">
      <c r="G3093" s="5"/>
      <c r="H3093" s="5"/>
    </row>
    <row r="3094" customFormat="1" spans="7:8">
      <c r="G3094" s="5"/>
      <c r="H3094" s="5"/>
    </row>
    <row r="3095" customFormat="1" spans="7:8">
      <c r="G3095" s="5"/>
      <c r="H3095" s="5"/>
    </row>
    <row r="3096" customFormat="1" spans="7:8">
      <c r="G3096" s="5"/>
      <c r="H3096" s="5"/>
    </row>
    <row r="3097" customFormat="1" spans="7:8">
      <c r="G3097" s="5"/>
      <c r="H3097" s="5"/>
    </row>
    <row r="3098" customFormat="1" spans="7:8">
      <c r="G3098" s="5"/>
      <c r="H3098" s="5"/>
    </row>
    <row r="3099" customFormat="1" spans="7:8">
      <c r="G3099" s="5"/>
      <c r="H3099" s="5"/>
    </row>
    <row r="3100" customFormat="1" spans="7:8">
      <c r="G3100" s="5"/>
      <c r="H3100" s="5"/>
    </row>
    <row r="3101" customFormat="1" spans="7:8">
      <c r="G3101" s="5"/>
      <c r="H3101" s="5"/>
    </row>
    <row r="3102" customFormat="1" spans="7:8">
      <c r="G3102" s="5"/>
      <c r="H3102" s="5"/>
    </row>
    <row r="3103" customFormat="1" spans="7:8">
      <c r="G3103" s="5"/>
      <c r="H3103" s="5"/>
    </row>
    <row r="3104" customFormat="1" spans="7:8">
      <c r="G3104" s="5"/>
      <c r="H3104" s="5"/>
    </row>
    <row r="3105" customFormat="1" spans="7:8">
      <c r="G3105" s="5"/>
      <c r="H3105" s="5"/>
    </row>
    <row r="3106" customFormat="1" spans="7:8">
      <c r="G3106" s="5"/>
      <c r="H3106" s="5"/>
    </row>
    <row r="3107" customFormat="1" spans="7:8">
      <c r="G3107" s="5"/>
      <c r="H3107" s="5"/>
    </row>
    <row r="3108" customFormat="1" spans="7:8">
      <c r="G3108" s="5"/>
      <c r="H3108" s="5"/>
    </row>
    <row r="3109" customFormat="1" spans="7:8">
      <c r="G3109" s="5"/>
      <c r="H3109" s="5"/>
    </row>
    <row r="3110" customFormat="1" spans="7:8">
      <c r="G3110" s="5"/>
      <c r="H3110" s="5"/>
    </row>
    <row r="3111" customFormat="1" spans="7:8">
      <c r="G3111" s="5"/>
      <c r="H3111" s="5"/>
    </row>
    <row r="3112" customFormat="1" spans="7:8">
      <c r="G3112" s="5"/>
      <c r="H3112" s="5"/>
    </row>
    <row r="3113" customFormat="1" spans="7:8">
      <c r="G3113" s="5"/>
      <c r="H3113" s="5"/>
    </row>
  </sheetData>
  <autoFilter xmlns:etc="http://www.wps.cn/officeDocument/2017/etCustomData" ref="A1:M116" etc:filterBottomFollowUsedRange="0">
    <filterColumn colId="12">
      <filters blank="1">
        <filter val="1"/>
        <filter val="2"/>
        <filter val="4"/>
        <filter val="5"/>
        <filter val="9"/>
        <filter val="事故类型"/>
      </filters>
    </filterColumn>
    <extLst/>
  </autoFilter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16"/>
  <sheetViews>
    <sheetView workbookViewId="0">
      <selection activeCell="A23" sqref="A18:A23"/>
    </sheetView>
  </sheetViews>
  <sheetFormatPr defaultColWidth="8.72727272727273" defaultRowHeight="14" outlineLevelCol="1"/>
  <cols>
    <col min="1" max="1" width="16.7272727272727" customWidth="1"/>
    <col min="2" max="2" width="11.2727272727273" customWidth="1"/>
  </cols>
  <sheetData>
    <row r="1" spans="1:2">
      <c r="A1" t="s">
        <v>159</v>
      </c>
    </row>
    <row r="2" spans="1:2">
      <c r="A2" t="s">
        <v>160</v>
      </c>
    </row>
    <row r="3" spans="1:2">
      <c r="A3" s="1" t="s">
        <v>161</v>
      </c>
      <c r="B3" s="1" t="s">
        <v>162</v>
      </c>
    </row>
    <row r="4" spans="1:2">
      <c r="A4" s="2">
        <v>26</v>
      </c>
      <c r="B4" s="2">
        <v>0.25</v>
      </c>
    </row>
    <row r="5" spans="1:2">
      <c r="A5" s="2">
        <v>31</v>
      </c>
      <c r="B5" s="2">
        <v>0.46</v>
      </c>
    </row>
    <row r="6" spans="1:2">
      <c r="A6" s="2">
        <v>40</v>
      </c>
      <c r="B6" s="2">
        <v>0.75</v>
      </c>
    </row>
    <row r="7" spans="1:2">
      <c r="A7" s="2">
        <v>54</v>
      </c>
      <c r="B7" s="2">
        <v>0.97</v>
      </c>
    </row>
    <row r="8" spans="1:2">
      <c r="A8" s="2">
        <v>61</v>
      </c>
      <c r="B8" s="2">
        <v>1.23</v>
      </c>
    </row>
    <row r="9" spans="1:2">
      <c r="A9" s="2">
        <v>71</v>
      </c>
      <c r="B9" s="2">
        <v>1.57</v>
      </c>
    </row>
    <row r="10" spans="1:2">
      <c r="A10" s="2">
        <v>91</v>
      </c>
      <c r="B10" s="2">
        <v>1.84</v>
      </c>
    </row>
    <row r="11" spans="1:2">
      <c r="A11" s="2">
        <v>98</v>
      </c>
      <c r="B11" s="2">
        <v>2.16</v>
      </c>
    </row>
    <row r="12" spans="1:2">
      <c r="A12" s="2">
        <v>121</v>
      </c>
      <c r="B12" s="2">
        <v>2.51</v>
      </c>
    </row>
    <row r="13" spans="1:2">
      <c r="A13" s="2">
        <v>133</v>
      </c>
      <c r="B13" s="2">
        <v>2.81</v>
      </c>
    </row>
    <row r="14" spans="1:2">
      <c r="A14" s="2">
        <v>151</v>
      </c>
      <c r="B14" s="2">
        <v>3.02</v>
      </c>
    </row>
    <row r="15" spans="1:2">
      <c r="A15" s="2">
        <v>154</v>
      </c>
      <c r="B15" s="2">
        <v>3.33</v>
      </c>
    </row>
    <row r="16" spans="1:2">
      <c r="A16" s="2">
        <v>181</v>
      </c>
      <c r="B16" s="2">
        <v>3.63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2:B12"/>
  <sheetViews>
    <sheetView workbookViewId="0">
      <selection activeCell="F26" sqref="F26"/>
    </sheetView>
  </sheetViews>
  <sheetFormatPr defaultColWidth="8.72727272727273" defaultRowHeight="14" outlineLevelCol="1"/>
  <sheetData>
    <row r="2" spans="1:2">
      <c r="B2" t="s">
        <v>163</v>
      </c>
    </row>
    <row r="3" spans="1:2">
      <c r="B3" t="s">
        <v>164</v>
      </c>
    </row>
    <row r="7" spans="1:2">
      <c r="A7" t="s">
        <v>165</v>
      </c>
    </row>
    <row r="8" spans="1:2">
      <c r="A8" t="s">
        <v>166</v>
      </c>
    </row>
    <row r="9" spans="1:2">
      <c r="A9" t="s">
        <v>167</v>
      </c>
    </row>
    <row r="10" spans="1:2">
      <c r="A10" t="s">
        <v>168</v>
      </c>
    </row>
    <row r="11" spans="1:2">
      <c r="A11" t="s">
        <v>169</v>
      </c>
    </row>
    <row r="12" spans="1:2">
      <c r="A12" t="s">
        <v>170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Sheet4</vt:lpstr>
      <vt:lpstr>Sheet5</vt:lpstr>
      <vt:lpstr>Sheet1</vt:lpstr>
      <vt:lpstr>lookup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Caristy</dc:creator>
  <cp:lastModifiedBy>Yixuan</cp:lastModifiedBy>
  <dcterms:created xsi:type="dcterms:W3CDTF">2025-12-19T02:39:00Z</dcterms:created>
  <dcterms:modified xsi:type="dcterms:W3CDTF">2025-12-24T03:28:25Z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E60A4DE2BDA5476D8D2DD97E1E056573_11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